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175199\Downloads\"/>
    </mc:Choice>
  </mc:AlternateContent>
  <xr:revisionPtr revIDLastSave="0" documentId="8_{53FE5FF3-CB35-42C1-A575-DE64BFED9EED}" xr6:coauthVersionLast="36" xr6:coauthVersionMax="36" xr10:uidLastSave="{00000000-0000-0000-0000-000000000000}"/>
  <bookViews>
    <workbookView xWindow="-105" yWindow="-105" windowWidth="19425" windowHeight="10425" xr2:uid="{5A829714-FA47-44B1-B9D6-6937255AFE91}"/>
  </bookViews>
  <sheets>
    <sheet name="Articulos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24" i="1" l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C127" i="1"/>
  <c r="C126" i="1"/>
  <c r="C125" i="1"/>
  <c r="C124" i="1"/>
  <c r="C123" i="1"/>
  <c r="C122" i="1"/>
  <c r="C121" i="1"/>
  <c r="C120" i="1"/>
  <c r="C119" i="1"/>
  <c r="C118" i="1"/>
  <c r="C117" i="1"/>
  <c r="C116" i="1"/>
  <c r="C115" i="1"/>
  <c r="C114" i="1"/>
  <c r="C113" i="1"/>
  <c r="C112" i="1"/>
  <c r="C111" i="1"/>
  <c r="C110" i="1"/>
  <c r="C109" i="1"/>
  <c r="C108" i="1"/>
  <c r="C107" i="1"/>
  <c r="C106" i="1"/>
  <c r="C105" i="1"/>
  <c r="C104" i="1"/>
  <c r="C103" i="1"/>
  <c r="C102" i="1"/>
  <c r="C101" i="1"/>
  <c r="C100" i="1"/>
  <c r="C99" i="1"/>
  <c r="C98" i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<sst xmlns="http://schemas.openxmlformats.org/spreadsheetml/2006/main" count="231" uniqueCount="231">
  <si>
    <t>Id_Produto</t>
  </si>
  <si>
    <t>Productos</t>
  </si>
  <si>
    <t>Valor Inventario</t>
  </si>
  <si>
    <t>Unidades</t>
  </si>
  <si>
    <t>Precio Unitario</t>
  </si>
  <si>
    <t>Aceite comestibles</t>
  </si>
  <si>
    <t>Aderezos</t>
  </si>
  <si>
    <t>Consome</t>
  </si>
  <si>
    <t>Crema de cacahuate</t>
  </si>
  <si>
    <t>Crema para café</t>
  </si>
  <si>
    <t>Pure de tomate</t>
  </si>
  <si>
    <t>Alimento para bebe</t>
  </si>
  <si>
    <t>Alimento para mascotas</t>
  </si>
  <si>
    <t>Atole</t>
  </si>
  <si>
    <t>Avena</t>
  </si>
  <si>
    <t>Azúcar</t>
  </si>
  <si>
    <t>Café</t>
  </si>
  <si>
    <t>Cereales</t>
  </si>
  <si>
    <t>Chile piquín</t>
  </si>
  <si>
    <t>Especias</t>
  </si>
  <si>
    <t>Flan en polvo</t>
  </si>
  <si>
    <t>Formulas infantiles</t>
  </si>
  <si>
    <t>Gelatinas en polvo/Grenetina</t>
  </si>
  <si>
    <t>Harina</t>
  </si>
  <si>
    <t>Harina preparada</t>
  </si>
  <si>
    <t>Mole</t>
  </si>
  <si>
    <t>Sal</t>
  </si>
  <si>
    <t>Salsas envasadas</t>
  </si>
  <si>
    <t>Sazonadores</t>
  </si>
  <si>
    <t>Sopas en sobre</t>
  </si>
  <si>
    <t>Cajeta</t>
  </si>
  <si>
    <t>Catsup</t>
  </si>
  <si>
    <t>Mayonesa</t>
  </si>
  <si>
    <t>Mermelada</t>
  </si>
  <si>
    <t>Miel</t>
  </si>
  <si>
    <t>Te</t>
  </si>
  <si>
    <t>Vinagre</t>
  </si>
  <si>
    <t>Huevo</t>
  </si>
  <si>
    <t>Pastas</t>
  </si>
  <si>
    <t>Aceitunas</t>
  </si>
  <si>
    <t>Champiñones enteros/rebanados</t>
  </si>
  <si>
    <t>Chícharo con zanahoria</t>
  </si>
  <si>
    <t>Chícharos enlatados</t>
  </si>
  <si>
    <t>Frijoles enlatados</t>
  </si>
  <si>
    <t>Frutas en almíbar</t>
  </si>
  <si>
    <t>Sardinas</t>
  </si>
  <si>
    <t>Atún en agua/aceite</t>
  </si>
  <si>
    <t>Chiles enlatados</t>
  </si>
  <si>
    <t>Chiles envasados</t>
  </si>
  <si>
    <t>Ensaladas enlatadas</t>
  </si>
  <si>
    <t>Granos de elote enlatados</t>
  </si>
  <si>
    <t>Sopa en lata</t>
  </si>
  <si>
    <t>Vegetales en conserva</t>
  </si>
  <si>
    <t>Leche condesada</t>
  </si>
  <si>
    <t>Leche deslactosada</t>
  </si>
  <si>
    <t>Leche en polvo</t>
  </si>
  <si>
    <t>Leche evaporada</t>
  </si>
  <si>
    <t>Leche light</t>
  </si>
  <si>
    <t>Leche pasteurizada</t>
  </si>
  <si>
    <t>Leche saborizada</t>
  </si>
  <si>
    <t>Leche semidescremada</t>
  </si>
  <si>
    <t>Crema</t>
  </si>
  <si>
    <t>Yoghurt</t>
  </si>
  <si>
    <t>Mantequilla</t>
  </si>
  <si>
    <t>Margarina</t>
  </si>
  <si>
    <t>Media crema</t>
  </si>
  <si>
    <t>Queso</t>
  </si>
  <si>
    <t>Papa</t>
  </si>
  <si>
    <t>Palomitas</t>
  </si>
  <si>
    <t>Frituras de maíz</t>
  </si>
  <si>
    <t>Cacahuates</t>
  </si>
  <si>
    <t>Botanas saladas</t>
  </si>
  <si>
    <t>Barras alimenticias</t>
  </si>
  <si>
    <t>Nueces y semillas</t>
  </si>
  <si>
    <t>Caramelos</t>
  </si>
  <si>
    <t>Dulces enchilados</t>
  </si>
  <si>
    <t>Chocolate de mesa</t>
  </si>
  <si>
    <t>Chocolate en polvo</t>
  </si>
  <si>
    <t>Chocolates</t>
  </si>
  <si>
    <t>Gomas de mascar</t>
  </si>
  <si>
    <t>Mazapán</t>
  </si>
  <si>
    <t>Malvaviscos</t>
  </si>
  <si>
    <t>Pulpa de tamarindo</t>
  </si>
  <si>
    <t>Pastillas de dulce</t>
  </si>
  <si>
    <t>Paletas de dulce</t>
  </si>
  <si>
    <t>Tortillas de harina/maíz</t>
  </si>
  <si>
    <t>Galletas dulces</t>
  </si>
  <si>
    <t>Galletas saladas</t>
  </si>
  <si>
    <t>Pastelillos</t>
  </si>
  <si>
    <t>Pan de caja</t>
  </si>
  <si>
    <t>Pan dulce</t>
  </si>
  <si>
    <t>Pan molido</t>
  </si>
  <si>
    <t>Pan tostado</t>
  </si>
  <si>
    <t>Aguacates</t>
  </si>
  <si>
    <t>Ajos</t>
  </si>
  <si>
    <t>Cebollas</t>
  </si>
  <si>
    <t>Chiles</t>
  </si>
  <si>
    <t>Cilantro/Perejil</t>
  </si>
  <si>
    <t>Jitomate</t>
  </si>
  <si>
    <t>Papas</t>
  </si>
  <si>
    <t>Limones</t>
  </si>
  <si>
    <t>Manzanas</t>
  </si>
  <si>
    <t>Naranjas</t>
  </si>
  <si>
    <t>Plátanos</t>
  </si>
  <si>
    <t>Agua mineral</t>
  </si>
  <si>
    <t>Agua natural</t>
  </si>
  <si>
    <t>Agua saborizada</t>
  </si>
  <si>
    <t>Jarabes</t>
  </si>
  <si>
    <t>Jugos/Néctares</t>
  </si>
  <si>
    <t>Naranjadas</t>
  </si>
  <si>
    <t>Bebidas de soya</t>
  </si>
  <si>
    <t>Bebidas en polvo</t>
  </si>
  <si>
    <t>Bebidas infantiles</t>
  </si>
  <si>
    <t>Bebidas isotónicas</t>
  </si>
  <si>
    <t>Energetizantes</t>
  </si>
  <si>
    <t>Isotónicos</t>
  </si>
  <si>
    <t>Refrescos</t>
  </si>
  <si>
    <t>Bebidas preparadas</t>
  </si>
  <si>
    <t>Cerveza</t>
  </si>
  <si>
    <t>Anís</t>
  </si>
  <si>
    <t>Brandy</t>
  </si>
  <si>
    <t>Ginebra</t>
  </si>
  <si>
    <t>Cordiales</t>
  </si>
  <si>
    <t>Mezcal</t>
  </si>
  <si>
    <t>Jerez</t>
  </si>
  <si>
    <t>Ron</t>
  </si>
  <si>
    <t>Tequila</t>
  </si>
  <si>
    <t>Sidra</t>
  </si>
  <si>
    <t>Whiskey</t>
  </si>
  <si>
    <t>Vodka</t>
  </si>
  <si>
    <t>Pastas listas para comer</t>
  </si>
  <si>
    <t>Sopas en vaso</t>
  </si>
  <si>
    <t>Carnes y Embudos</t>
  </si>
  <si>
    <t>Salchicha</t>
  </si>
  <si>
    <t>Mortadela</t>
  </si>
  <si>
    <t>Tocino</t>
  </si>
  <si>
    <t>Jamón</t>
  </si>
  <si>
    <t>Manteca</t>
  </si>
  <si>
    <t>Chorizo</t>
  </si>
  <si>
    <t>Carne de puerco/res/pollo</t>
  </si>
  <si>
    <t>Suero</t>
  </si>
  <si>
    <t>Agua oxigenada</t>
  </si>
  <si>
    <t>Preservativos</t>
  </si>
  <si>
    <t>Alcohol</t>
  </si>
  <si>
    <t>Gasas</t>
  </si>
  <si>
    <t>Analgésicos</t>
  </si>
  <si>
    <t>Antigripales</t>
  </si>
  <si>
    <t>Antiácidos</t>
  </si>
  <si>
    <t>Toallas húmedas</t>
  </si>
  <si>
    <t>Aceite para bebe</t>
  </si>
  <si>
    <t>Toallas femeninas</t>
  </si>
  <si>
    <t>Algodón</t>
  </si>
  <si>
    <t>Tinte para el cabello</t>
  </si>
  <si>
    <t>Biberones</t>
  </si>
  <si>
    <t>Talco</t>
  </si>
  <si>
    <t>Cepillo de dientes</t>
  </si>
  <si>
    <t>Shampoo/ Acondicionador</t>
  </si>
  <si>
    <t>Cotonetes</t>
  </si>
  <si>
    <t>Rastrillos</t>
  </si>
  <si>
    <t>Crema corporal/facial</t>
  </si>
  <si>
    <t>Papel higiénico</t>
  </si>
  <si>
    <t>Crema para afeitar</t>
  </si>
  <si>
    <t>Pañuelos faciales</t>
  </si>
  <si>
    <t>Dentífricos</t>
  </si>
  <si>
    <t>Pañuelos desechables</t>
  </si>
  <si>
    <t>Desodorantes en barra/aerosol</t>
  </si>
  <si>
    <t>Maquillaje</t>
  </si>
  <si>
    <t>Enjuague bucal</t>
  </si>
  <si>
    <t>Lubricantes para labios</t>
  </si>
  <si>
    <t>Gel/spray</t>
  </si>
  <si>
    <t>Loción hidratante</t>
  </si>
  <si>
    <t>Jabones corporales/tocados</t>
  </si>
  <si>
    <t>Suavizante de telas</t>
  </si>
  <si>
    <t>Ácido muriático</t>
  </si>
  <si>
    <t>Sosa caustica</t>
  </si>
  <si>
    <t>Aluminio</t>
  </si>
  <si>
    <t>Pilas</t>
  </si>
  <si>
    <t>Shampoo para ropa</t>
  </si>
  <si>
    <t>Servilletas</t>
  </si>
  <si>
    <t>Servitoallas</t>
  </si>
  <si>
    <t>Aromatizantes</t>
  </si>
  <si>
    <t>Cera para automóvil</t>
  </si>
  <si>
    <t>Cera para calzados</t>
  </si>
  <si>
    <t>Pastillas sanitarias</t>
  </si>
  <si>
    <t>Limpiadores líquidos</t>
  </si>
  <si>
    <t>Limpiadores para pisos</t>
  </si>
  <si>
    <t>Jabón de barra</t>
  </si>
  <si>
    <t>Cerillos</t>
  </si>
  <si>
    <t>Cloro/Blanqueador</t>
  </si>
  <si>
    <t>Cloro para ropa</t>
  </si>
  <si>
    <t>Jabón en barra</t>
  </si>
  <si>
    <t>Insecticidas</t>
  </si>
  <si>
    <t>Fibras limpiadoras</t>
  </si>
  <si>
    <t>Desinfectantes</t>
  </si>
  <si>
    <t>Detergentes para trastes</t>
  </si>
  <si>
    <t>GESAPAX COMBI 80 1 KG.</t>
  </si>
  <si>
    <t>GESAPAX H-375      5 LTS.</t>
  </si>
  <si>
    <t>GESAPAX H AUTOSUSP. 1 LT.</t>
  </si>
  <si>
    <t>GESAPAX H AUTSP. 3.5 LTS.</t>
  </si>
  <si>
    <t>PEAK     6 X  5 X 85 GRS.</t>
  </si>
  <si>
    <t>MODDUS 250 EC 1 LITRO.</t>
  </si>
  <si>
    <t>BANVEL 12-24 1 LT.</t>
  </si>
  <si>
    <t>MARVEL   1 LT.</t>
  </si>
  <si>
    <t>ACEITE MINERAL 200 ML</t>
  </si>
  <si>
    <t>NUVACRON 50         5 LT.</t>
  </si>
  <si>
    <t>NUVACRON 50         1 LT.</t>
  </si>
  <si>
    <t>TRIUNFO 5 G      20  KGS.</t>
  </si>
  <si>
    <t>HIERBAMINA          5 LT.</t>
  </si>
  <si>
    <t>HIERBAMINA          1 LT.</t>
  </si>
  <si>
    <t>PENETRATOR PLUS     1 LT.</t>
  </si>
  <si>
    <t>COLOSO 480    1 LT.</t>
  </si>
  <si>
    <t>FUSILADE 960 ML.</t>
  </si>
  <si>
    <t>GRAMOCIL 900 ML.</t>
  </si>
  <si>
    <t>GRAMOXONE 900 ML.</t>
  </si>
  <si>
    <t>KATANA 10X200 GRS</t>
  </si>
  <si>
    <t>KARATE ZEON 5% 20X250 ML.</t>
  </si>
  <si>
    <t>COLOSO 480 5 LTS.</t>
  </si>
  <si>
    <t>COLOSO 480 10 LTS.</t>
  </si>
  <si>
    <t>COLOSO 480 60 LTS.</t>
  </si>
  <si>
    <t>GRAMOCIL 5 LTS</t>
  </si>
  <si>
    <t>KARATE 7% 20X200  ML.</t>
  </si>
  <si>
    <t>KLERAT CUBO BITREX 10 KGS.</t>
  </si>
  <si>
    <t>Focos</t>
  </si>
  <si>
    <t>Fusibles</t>
  </si>
  <si>
    <t>Jergas/Franelas</t>
  </si>
  <si>
    <t>Matamoscas</t>
  </si>
  <si>
    <t>Pegamento</t>
  </si>
  <si>
    <t>Mecate/cuerda</t>
  </si>
  <si>
    <t xml:space="preserve"> </t>
  </si>
  <si>
    <t>Precio total del inventario</t>
  </si>
  <si>
    <t>Número de árticulos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</si>
</sst>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;[Red]\-&quot;$&quot;#,##0.00"/>
  </numFmts>
  <fonts count="3" x14ac:knownFonts="1">
    <font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sz val="9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3" borderId="0" xfId="0" applyFont="1" applyFill="1"/>
    <xf numFmtId="0" fontId="2" fillId="3" borderId="1" xfId="0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8" fontId="2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28FC-A480-4044-A3F0-BED6ED5EF559}">
  <sheetPr codeName="Sheet1"/>
  <dimension ref="A1:G230"/>
  <sheetViews>
    <sheetView tabSelected="1" workbookViewId="0">
      <selection activeCell="G5" sqref="G5"/>
    </sheetView>
  </sheetViews>
  <sheetFormatPr defaultColWidth="9.140625" defaultRowHeight="12" x14ac:dyDescent="0.2"/>
  <cols>
    <col min="1" max="1" width="17.140625" style="5" customWidth="1"/>
    <col min="2" max="2" width="27.85546875" style="5" bestFit="1" customWidth="1"/>
    <col min="3" max="3" width="13.85546875" style="5" bestFit="1" customWidth="1"/>
    <col min="4" max="4" width="9.140625" style="5"/>
    <col min="5" max="5" width="13.140625" style="2" bestFit="1" customWidth="1"/>
    <col min="6" max="6" width="9.140625" style="2"/>
    <col min="7" max="7" width="21.7109375" style="2" bestFit="1" customWidth="1"/>
    <col min="8" max="16384" width="9.140625" style="2"/>
  </cols>
  <sheetData>
    <row r="1" spans="1:7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7" x14ac:dyDescent="0.2">
      <c r="A2" s="3">
        <v>14201389</v>
      </c>
      <c r="B2" s="3" t="s">
        <v>5</v>
      </c>
      <c r="C2" s="4">
        <f>PRODUCT($D$2:$E$2)</f>
        <v>573.98</v>
      </c>
      <c r="D2" s="3">
        <v>11</v>
      </c>
      <c r="E2" s="4">
        <v>52.18</v>
      </c>
      <c r="F2" s="6"/>
    </row>
    <row r="3" spans="1:7" x14ac:dyDescent="0.2">
      <c r="A3" s="3">
        <v>17208030</v>
      </c>
      <c r="B3" s="3" t="s">
        <v>6</v>
      </c>
      <c r="C3" s="4">
        <f>PRODUCT($D$3:$E$3)</f>
        <v>524.02</v>
      </c>
      <c r="D3" s="3">
        <v>7</v>
      </c>
      <c r="E3" s="4">
        <v>74.86</v>
      </c>
      <c r="G3" s="2" t="s">
        <v>230</v>
      </c>
    </row>
    <row r="4" spans="1:7" x14ac:dyDescent="0.2">
      <c r="A4" s="3">
        <v>14000623</v>
      </c>
      <c r="B4" s="3" t="s">
        <v>7</v>
      </c>
      <c r="C4" s="4">
        <f>PRODUCT($D$4:$E$4)</f>
        <v>313</v>
      </c>
      <c r="D4" s="3">
        <v>5</v>
      </c>
      <c r="E4" s="4">
        <v>62.6</v>
      </c>
      <c r="G4" s="2">
        <v>224</v>
      </c>
    </row>
    <row r="5" spans="1:7" x14ac:dyDescent="0.2">
      <c r="A5" s="3">
        <v>10014431</v>
      </c>
      <c r="B5" s="3" t="s">
        <v>8</v>
      </c>
      <c r="C5" s="4">
        <f>PRODUCT($D$5:$E$5)</f>
        <v>517.29</v>
      </c>
      <c r="D5" s="3">
        <v>129</v>
      </c>
      <c r="E5" s="4">
        <v>4.01</v>
      </c>
    </row>
    <row r="6" spans="1:7" x14ac:dyDescent="0.2">
      <c r="A6" s="3">
        <v>11603732</v>
      </c>
      <c r="B6" s="3" t="s">
        <v>9</v>
      </c>
      <c r="C6" s="4">
        <f>PRODUCT($D$6:$E$6)</f>
        <v>346.15000000000003</v>
      </c>
      <c r="D6" s="3">
        <v>43</v>
      </c>
      <c r="E6" s="4">
        <v>8.0500000000000007</v>
      </c>
    </row>
    <row r="7" spans="1:7" x14ac:dyDescent="0.2">
      <c r="A7" s="3">
        <v>11311949</v>
      </c>
      <c r="B7" s="3" t="s">
        <v>10</v>
      </c>
      <c r="C7" s="4">
        <f>PRODUCT($D$7:$E$7)</f>
        <v>394.68</v>
      </c>
      <c r="D7" s="3">
        <v>66</v>
      </c>
      <c r="E7" s="4">
        <v>5.98</v>
      </c>
      <c r="G7" s="2" t="s">
        <v>229</v>
      </c>
    </row>
    <row r="8" spans="1:7" x14ac:dyDescent="0.2">
      <c r="A8" s="3">
        <v>10018616</v>
      </c>
      <c r="B8" s="3" t="s">
        <v>11</v>
      </c>
      <c r="C8" s="4">
        <f>PRODUCT($D$8:$E$8)</f>
        <v>171</v>
      </c>
      <c r="D8" s="3">
        <v>5</v>
      </c>
      <c r="E8" s="4">
        <v>34.200000000000003</v>
      </c>
      <c r="G8" s="6">
        <v>3520879.36</v>
      </c>
    </row>
    <row r="9" spans="1:7" x14ac:dyDescent="0.2">
      <c r="A9" s="3">
        <v>10009555</v>
      </c>
      <c r="B9" s="3" t="s">
        <v>12</v>
      </c>
      <c r="C9" s="4">
        <f>PRODUCT($D$9:$E$9)</f>
        <v>362</v>
      </c>
      <c r="D9" s="3">
        <v>4</v>
      </c>
      <c r="E9" s="4">
        <v>90.5</v>
      </c>
    </row>
    <row r="10" spans="1:7" x14ac:dyDescent="0.2">
      <c r="A10" s="3">
        <v>11201429</v>
      </c>
      <c r="B10" s="3" t="s">
        <v>13</v>
      </c>
      <c r="C10" s="4">
        <f>PRODUCT($D$10:$E$10)</f>
        <v>834</v>
      </c>
      <c r="D10" s="3">
        <v>10</v>
      </c>
      <c r="E10" s="4">
        <v>83.4</v>
      </c>
    </row>
    <row r="11" spans="1:7" x14ac:dyDescent="0.2">
      <c r="A11" s="3">
        <v>11006164</v>
      </c>
      <c r="B11" s="3" t="s">
        <v>14</v>
      </c>
      <c r="C11" s="4">
        <f>PRODUCT($D$11:$E$11)</f>
        <v>42</v>
      </c>
      <c r="D11" s="3">
        <v>1</v>
      </c>
      <c r="E11" s="4">
        <v>42</v>
      </c>
    </row>
    <row r="12" spans="1:7" x14ac:dyDescent="0.2">
      <c r="A12" s="3">
        <v>11312090</v>
      </c>
      <c r="B12" s="3" t="s">
        <v>15</v>
      </c>
      <c r="C12" s="4">
        <f>PRODUCT($D$12:$E$12)</f>
        <v>418.05</v>
      </c>
      <c r="D12" s="3">
        <v>15</v>
      </c>
      <c r="E12" s="4">
        <v>27.87</v>
      </c>
    </row>
    <row r="13" spans="1:7" x14ac:dyDescent="0.2">
      <c r="A13" s="3">
        <v>10016333</v>
      </c>
      <c r="B13" s="3" t="s">
        <v>16</v>
      </c>
      <c r="C13" s="4">
        <f>PRODUCT($D$13:$E$13)</f>
        <v>828.9</v>
      </c>
      <c r="D13" s="3">
        <v>27</v>
      </c>
      <c r="E13" s="4">
        <v>30.7</v>
      </c>
    </row>
    <row r="14" spans="1:7" x14ac:dyDescent="0.2">
      <c r="A14" s="3">
        <v>14100968</v>
      </c>
      <c r="B14" s="3" t="s">
        <v>17</v>
      </c>
      <c r="C14" s="4">
        <f>PRODUCT($D$14:$E$14)</f>
        <v>563.97</v>
      </c>
      <c r="D14" s="3">
        <v>11</v>
      </c>
      <c r="E14" s="4">
        <v>51.27</v>
      </c>
    </row>
    <row r="15" spans="1:7" x14ac:dyDescent="0.2">
      <c r="A15" s="3">
        <v>14200092</v>
      </c>
      <c r="B15" s="3" t="s">
        <v>18</v>
      </c>
      <c r="C15" s="4">
        <f>PRODUCT($D$15:$E$15)</f>
        <v>708.96</v>
      </c>
      <c r="D15" s="3">
        <v>14</v>
      </c>
      <c r="E15" s="4">
        <v>50.64</v>
      </c>
    </row>
    <row r="16" spans="1:7" x14ac:dyDescent="0.2">
      <c r="A16" s="3">
        <v>10016530</v>
      </c>
      <c r="B16" s="3" t="s">
        <v>19</v>
      </c>
      <c r="C16" s="4">
        <f>PRODUCT($D$16:$E$16)</f>
        <v>887.88</v>
      </c>
      <c r="D16" s="3">
        <v>42</v>
      </c>
      <c r="E16" s="4">
        <v>21.14</v>
      </c>
    </row>
    <row r="17" spans="1:5" x14ac:dyDescent="0.2">
      <c r="A17" s="3">
        <v>17001581</v>
      </c>
      <c r="B17" s="3" t="s">
        <v>20</v>
      </c>
      <c r="C17" s="4">
        <f>PRODUCT($D$17:$E$17)</f>
        <v>593.97</v>
      </c>
      <c r="D17" s="3">
        <v>13</v>
      </c>
      <c r="E17" s="4">
        <v>45.69</v>
      </c>
    </row>
    <row r="18" spans="1:5" x14ac:dyDescent="0.2">
      <c r="A18" s="3">
        <v>11501319</v>
      </c>
      <c r="B18" s="3" t="s">
        <v>21</v>
      </c>
      <c r="C18" s="4">
        <f>PRODUCT($D$18:$E$18)</f>
        <v>235.98</v>
      </c>
      <c r="D18" s="3">
        <v>6</v>
      </c>
      <c r="E18" s="4">
        <v>39.33</v>
      </c>
    </row>
    <row r="19" spans="1:5" x14ac:dyDescent="0.2">
      <c r="A19" s="3">
        <v>14200198</v>
      </c>
      <c r="B19" s="3" t="s">
        <v>22</v>
      </c>
      <c r="C19" s="4">
        <f>PRODUCT($D$19:$E$19)</f>
        <v>521.01</v>
      </c>
      <c r="D19" s="3">
        <v>7</v>
      </c>
      <c r="E19" s="4">
        <v>74.430000000000007</v>
      </c>
    </row>
    <row r="20" spans="1:5" x14ac:dyDescent="0.2">
      <c r="A20" s="3">
        <v>14200496</v>
      </c>
      <c r="B20" s="3" t="s">
        <v>23</v>
      </c>
      <c r="C20" s="4">
        <f>PRODUCT($D$20:$E$20)</f>
        <v>940</v>
      </c>
      <c r="D20" s="3">
        <v>16</v>
      </c>
      <c r="E20" s="4">
        <v>58.75</v>
      </c>
    </row>
    <row r="21" spans="1:5" x14ac:dyDescent="0.2">
      <c r="A21" s="3">
        <v>10015980</v>
      </c>
      <c r="B21" s="3" t="s">
        <v>24</v>
      </c>
      <c r="C21" s="4">
        <f>PRODUCT($D$21:$E$21)</f>
        <v>329.98</v>
      </c>
      <c r="D21" s="3">
        <v>7</v>
      </c>
      <c r="E21" s="4">
        <v>47.14</v>
      </c>
    </row>
    <row r="22" spans="1:5" x14ac:dyDescent="0.2">
      <c r="A22" s="3">
        <v>14201676</v>
      </c>
      <c r="B22" s="3" t="s">
        <v>25</v>
      </c>
      <c r="C22" s="4">
        <f>PRODUCT($D$22:$E$22)</f>
        <v>915.95</v>
      </c>
      <c r="D22" s="3">
        <v>35</v>
      </c>
      <c r="E22" s="4">
        <v>26.17</v>
      </c>
    </row>
    <row r="23" spans="1:5" x14ac:dyDescent="0.2">
      <c r="A23" s="3">
        <v>14202478</v>
      </c>
      <c r="B23" s="3" t="s">
        <v>26</v>
      </c>
      <c r="C23" s="4">
        <f>PRODUCT($D$23:$E$23)</f>
        <v>234</v>
      </c>
      <c r="D23" s="3">
        <v>12</v>
      </c>
      <c r="E23" s="4">
        <v>19.5</v>
      </c>
    </row>
    <row r="24" spans="1:5" x14ac:dyDescent="0.2">
      <c r="A24" s="3">
        <v>17001574</v>
      </c>
      <c r="B24" s="3" t="s">
        <v>27</v>
      </c>
      <c r="C24" s="4">
        <f>PRODUCT($D$24:$E$24)</f>
        <v>285</v>
      </c>
      <c r="D24" s="3">
        <v>4</v>
      </c>
      <c r="E24" s="4">
        <v>71.25</v>
      </c>
    </row>
    <row r="25" spans="1:5" x14ac:dyDescent="0.2">
      <c r="A25" s="3">
        <v>11501609</v>
      </c>
      <c r="B25" s="3" t="s">
        <v>28</v>
      </c>
      <c r="C25" s="4">
        <f>PRODUCT($D$25:$E$25)</f>
        <v>877.2</v>
      </c>
      <c r="D25" s="3">
        <v>40</v>
      </c>
      <c r="E25" s="4">
        <v>21.93</v>
      </c>
    </row>
    <row r="26" spans="1:5" x14ac:dyDescent="0.2">
      <c r="A26" s="3">
        <v>14200289</v>
      </c>
      <c r="B26" s="3" t="s">
        <v>29</v>
      </c>
      <c r="C26" s="4">
        <f>PRODUCT($D$26:$E$26)</f>
        <v>505</v>
      </c>
      <c r="D26" s="3">
        <v>5</v>
      </c>
      <c r="E26" s="4">
        <v>101</v>
      </c>
    </row>
    <row r="27" spans="1:5" x14ac:dyDescent="0.2">
      <c r="A27" s="3">
        <v>14201721</v>
      </c>
      <c r="B27" s="3" t="s">
        <v>30</v>
      </c>
      <c r="C27" s="4">
        <f>PRODUCT($D$27:$E$27)</f>
        <v>133</v>
      </c>
      <c r="D27" s="3">
        <v>5</v>
      </c>
      <c r="E27" s="4">
        <v>26.6</v>
      </c>
    </row>
    <row r="28" spans="1:5" x14ac:dyDescent="0.2">
      <c r="A28" s="3">
        <v>17001029</v>
      </c>
      <c r="B28" s="3" t="s">
        <v>31</v>
      </c>
      <c r="C28" s="4">
        <f>PRODUCT($D$28:$E$28)</f>
        <v>213</v>
      </c>
      <c r="D28" s="3">
        <v>2</v>
      </c>
      <c r="E28" s="4">
        <v>106.5</v>
      </c>
    </row>
    <row r="29" spans="1:5" x14ac:dyDescent="0.2">
      <c r="A29" s="3">
        <v>17006593</v>
      </c>
      <c r="B29" s="3" t="s">
        <v>32</v>
      </c>
      <c r="C29" s="4">
        <f>PRODUCT($D$29:$E$29)</f>
        <v>50</v>
      </c>
      <c r="D29" s="3">
        <v>1</v>
      </c>
      <c r="E29" s="4">
        <v>50</v>
      </c>
    </row>
    <row r="30" spans="1:5" x14ac:dyDescent="0.2">
      <c r="A30" s="3">
        <v>14200197</v>
      </c>
      <c r="B30" s="3" t="s">
        <v>33</v>
      </c>
      <c r="C30" s="4">
        <f>PRODUCT($D$30:$E$30)</f>
        <v>773.01</v>
      </c>
      <c r="D30" s="3">
        <v>9</v>
      </c>
      <c r="E30" s="4">
        <v>85.89</v>
      </c>
    </row>
    <row r="31" spans="1:5" x14ac:dyDescent="0.2">
      <c r="A31" s="3">
        <v>10003749</v>
      </c>
      <c r="B31" s="3" t="s">
        <v>34</v>
      </c>
      <c r="C31" s="4">
        <f>PRODUCT($D$31:$E$31)</f>
        <v>887.11999999999989</v>
      </c>
      <c r="D31" s="3">
        <v>52</v>
      </c>
      <c r="E31" s="4">
        <v>17.059999999999999</v>
      </c>
    </row>
    <row r="32" spans="1:5" x14ac:dyDescent="0.2">
      <c r="A32" s="3">
        <v>14100915</v>
      </c>
      <c r="B32" s="3" t="s">
        <v>35</v>
      </c>
      <c r="C32" s="4">
        <f>PRODUCT($D$32:$E$32)</f>
        <v>343.02</v>
      </c>
      <c r="D32" s="3">
        <v>6</v>
      </c>
      <c r="E32" s="4">
        <v>57.17</v>
      </c>
    </row>
    <row r="33" spans="1:5" x14ac:dyDescent="0.2">
      <c r="A33" s="3">
        <v>14100344</v>
      </c>
      <c r="B33" s="3" t="s">
        <v>36</v>
      </c>
      <c r="C33" s="4">
        <f>PRODUCT($D$33:$E$33)</f>
        <v>34</v>
      </c>
      <c r="D33" s="3">
        <v>1</v>
      </c>
      <c r="E33" s="4">
        <v>34</v>
      </c>
    </row>
    <row r="34" spans="1:5" x14ac:dyDescent="0.2">
      <c r="A34" s="3">
        <v>10014190</v>
      </c>
      <c r="B34" s="3" t="s">
        <v>37</v>
      </c>
      <c r="C34" s="4">
        <f>PRODUCT($D$34:$E$34)</f>
        <v>317</v>
      </c>
      <c r="D34" s="3">
        <v>10</v>
      </c>
      <c r="E34" s="4">
        <v>31.7</v>
      </c>
    </row>
    <row r="35" spans="1:5" x14ac:dyDescent="0.2">
      <c r="A35" s="3">
        <v>14202309</v>
      </c>
      <c r="B35" s="3" t="s">
        <v>38</v>
      </c>
      <c r="C35" s="4">
        <f>PRODUCT($D$35:$E$35)</f>
        <v>151.97</v>
      </c>
      <c r="D35" s="3">
        <v>7</v>
      </c>
      <c r="E35" s="4">
        <v>21.71</v>
      </c>
    </row>
    <row r="36" spans="1:5" x14ac:dyDescent="0.2">
      <c r="A36" s="3">
        <v>14201829</v>
      </c>
      <c r="B36" s="3" t="s">
        <v>39</v>
      </c>
      <c r="C36" s="4">
        <f>PRODUCT($D$36:$E$36)</f>
        <v>52.980000000000004</v>
      </c>
      <c r="D36" s="3">
        <v>6</v>
      </c>
      <c r="E36" s="4">
        <v>8.83</v>
      </c>
    </row>
    <row r="37" spans="1:5" x14ac:dyDescent="0.2">
      <c r="A37" s="3">
        <v>14201088</v>
      </c>
      <c r="B37" s="3" t="s">
        <v>40</v>
      </c>
      <c r="C37" s="4">
        <f>PRODUCT($D$37:$E$37)</f>
        <v>713</v>
      </c>
      <c r="D37" s="3">
        <v>10</v>
      </c>
      <c r="E37" s="4">
        <v>71.3</v>
      </c>
    </row>
    <row r="38" spans="1:5" x14ac:dyDescent="0.2">
      <c r="A38" s="3">
        <v>14201924</v>
      </c>
      <c r="B38" s="3" t="s">
        <v>41</v>
      </c>
      <c r="C38" s="4">
        <f>PRODUCT($D$38:$E$38)</f>
        <v>115</v>
      </c>
      <c r="D38" s="3">
        <v>2</v>
      </c>
      <c r="E38" s="4">
        <v>57.5</v>
      </c>
    </row>
    <row r="39" spans="1:5" x14ac:dyDescent="0.2">
      <c r="A39" s="3">
        <v>14200165</v>
      </c>
      <c r="B39" s="3" t="s">
        <v>42</v>
      </c>
      <c r="C39" s="4">
        <f>PRODUCT($D$39:$E$39)</f>
        <v>451.98999999999995</v>
      </c>
      <c r="D39" s="3">
        <v>7</v>
      </c>
      <c r="E39" s="4">
        <v>64.569999999999993</v>
      </c>
    </row>
    <row r="40" spans="1:5" x14ac:dyDescent="0.2">
      <c r="A40" s="3">
        <v>11404066</v>
      </c>
      <c r="B40" s="3" t="s">
        <v>43</v>
      </c>
      <c r="C40" s="4">
        <f>PRODUCT($D$40:$E$40)</f>
        <v>212</v>
      </c>
      <c r="D40" s="3">
        <v>5</v>
      </c>
      <c r="E40" s="4">
        <v>42.4</v>
      </c>
    </row>
    <row r="41" spans="1:5" x14ac:dyDescent="0.2">
      <c r="A41" s="3">
        <v>17204066</v>
      </c>
      <c r="B41" s="3" t="s">
        <v>44</v>
      </c>
      <c r="C41" s="4">
        <f>PRODUCT($D$41:$E$41)</f>
        <v>821</v>
      </c>
      <c r="D41" s="3">
        <v>10</v>
      </c>
      <c r="E41" s="4">
        <v>82.1</v>
      </c>
    </row>
    <row r="42" spans="1:5" x14ac:dyDescent="0.2">
      <c r="A42" s="3">
        <v>14202206</v>
      </c>
      <c r="B42" s="3" t="s">
        <v>45</v>
      </c>
      <c r="C42" s="4">
        <f>PRODUCT($D$42:$E$42)</f>
        <v>199</v>
      </c>
      <c r="D42" s="3">
        <v>2</v>
      </c>
      <c r="E42" s="4">
        <v>99.5</v>
      </c>
    </row>
    <row r="43" spans="1:5" x14ac:dyDescent="0.2">
      <c r="A43" s="3">
        <v>10015102</v>
      </c>
      <c r="B43" s="3" t="s">
        <v>46</v>
      </c>
      <c r="C43" s="4">
        <f>PRODUCT($D$43:$E$43)</f>
        <v>34</v>
      </c>
      <c r="D43" s="3">
        <v>1</v>
      </c>
      <c r="E43" s="4">
        <v>34</v>
      </c>
    </row>
    <row r="44" spans="1:5" x14ac:dyDescent="0.2">
      <c r="A44" s="3">
        <v>14201674</v>
      </c>
      <c r="B44" s="3" t="s">
        <v>47</v>
      </c>
      <c r="C44" s="4">
        <f>PRODUCT($D$44:$E$44)</f>
        <v>669.96</v>
      </c>
      <c r="D44" s="3">
        <v>9</v>
      </c>
      <c r="E44" s="4">
        <v>74.44</v>
      </c>
    </row>
    <row r="45" spans="1:5" x14ac:dyDescent="0.2">
      <c r="A45" s="3">
        <v>10016102</v>
      </c>
      <c r="B45" s="3" t="s">
        <v>48</v>
      </c>
      <c r="C45" s="4">
        <f>PRODUCT($D$45:$E$45)</f>
        <v>216</v>
      </c>
      <c r="D45" s="3">
        <v>3</v>
      </c>
      <c r="E45" s="4">
        <v>72</v>
      </c>
    </row>
    <row r="46" spans="1:5" x14ac:dyDescent="0.2">
      <c r="A46" s="3">
        <v>14200401</v>
      </c>
      <c r="B46" s="3" t="s">
        <v>49</v>
      </c>
      <c r="C46" s="4">
        <f>PRODUCT($D$46:$E$46)</f>
        <v>961.93999999999994</v>
      </c>
      <c r="D46" s="3">
        <v>14</v>
      </c>
      <c r="E46" s="4">
        <v>68.709999999999994</v>
      </c>
    </row>
    <row r="47" spans="1:5" x14ac:dyDescent="0.2">
      <c r="A47" s="3">
        <v>14200195</v>
      </c>
      <c r="B47" s="3" t="s">
        <v>50</v>
      </c>
      <c r="C47" s="4">
        <f>PRODUCT($D$47:$E$47)</f>
        <v>392</v>
      </c>
      <c r="D47" s="3">
        <v>8</v>
      </c>
      <c r="E47" s="4">
        <v>49</v>
      </c>
    </row>
    <row r="48" spans="1:5" x14ac:dyDescent="0.2">
      <c r="A48" s="3">
        <v>14200150</v>
      </c>
      <c r="B48" s="3" t="s">
        <v>51</v>
      </c>
      <c r="C48" s="4">
        <f>PRODUCT($D$48:$E$48)</f>
        <v>526.24</v>
      </c>
      <c r="D48" s="3">
        <v>88</v>
      </c>
      <c r="E48" s="4">
        <v>5.98</v>
      </c>
    </row>
    <row r="49" spans="1:5" x14ac:dyDescent="0.2">
      <c r="A49" s="3">
        <v>10005543</v>
      </c>
      <c r="B49" s="3" t="s">
        <v>52</v>
      </c>
      <c r="C49" s="4">
        <f>PRODUCT($D$49:$E$49)</f>
        <v>9</v>
      </c>
      <c r="D49" s="3">
        <v>1</v>
      </c>
      <c r="E49" s="4">
        <v>9</v>
      </c>
    </row>
    <row r="50" spans="1:5" x14ac:dyDescent="0.2">
      <c r="A50" s="3">
        <v>14000136</v>
      </c>
      <c r="B50" s="3" t="s">
        <v>53</v>
      </c>
      <c r="C50" s="4">
        <f>PRODUCT($D$50:$E$50)</f>
        <v>480</v>
      </c>
      <c r="D50" s="3">
        <v>16</v>
      </c>
      <c r="E50" s="4">
        <v>30</v>
      </c>
    </row>
    <row r="51" spans="1:5" x14ac:dyDescent="0.2">
      <c r="A51" s="3">
        <v>14200843</v>
      </c>
      <c r="B51" s="3" t="s">
        <v>54</v>
      </c>
      <c r="C51" s="4">
        <f>PRODUCT($D$51:$E$51)</f>
        <v>236</v>
      </c>
      <c r="D51" s="3">
        <v>4</v>
      </c>
      <c r="E51" s="4">
        <v>59</v>
      </c>
    </row>
    <row r="52" spans="1:5" x14ac:dyDescent="0.2">
      <c r="A52" s="3">
        <v>10004453</v>
      </c>
      <c r="B52" s="3" t="s">
        <v>55</v>
      </c>
      <c r="C52" s="4">
        <f>PRODUCT($D$52:$E$52)</f>
        <v>685.04</v>
      </c>
      <c r="D52" s="3">
        <v>8</v>
      </c>
      <c r="E52" s="4">
        <v>85.63</v>
      </c>
    </row>
    <row r="53" spans="1:5" x14ac:dyDescent="0.2">
      <c r="A53" s="3">
        <v>11404151</v>
      </c>
      <c r="B53" s="3" t="s">
        <v>56</v>
      </c>
      <c r="C53" s="4">
        <f>PRODUCT($D$53:$E$53)</f>
        <v>816</v>
      </c>
      <c r="D53" s="3">
        <v>12</v>
      </c>
      <c r="E53" s="4">
        <v>68</v>
      </c>
    </row>
    <row r="54" spans="1:5" x14ac:dyDescent="0.2">
      <c r="A54" s="3">
        <v>17204151</v>
      </c>
      <c r="B54" s="3" t="s">
        <v>57</v>
      </c>
      <c r="C54" s="4">
        <f>PRODUCT($D$54:$E$54)</f>
        <v>420.98</v>
      </c>
      <c r="D54" s="3">
        <v>7</v>
      </c>
      <c r="E54" s="4">
        <v>60.14</v>
      </c>
    </row>
    <row r="55" spans="1:5" x14ac:dyDescent="0.2">
      <c r="A55" s="3">
        <v>10008262</v>
      </c>
      <c r="B55" s="3" t="s">
        <v>58</v>
      </c>
      <c r="C55" s="4">
        <f>PRODUCT($D$55:$E$55)</f>
        <v>660.91</v>
      </c>
      <c r="D55" s="3">
        <v>29</v>
      </c>
      <c r="E55" s="4">
        <v>22.79</v>
      </c>
    </row>
    <row r="56" spans="1:5" x14ac:dyDescent="0.2">
      <c r="A56" s="3">
        <v>11404067</v>
      </c>
      <c r="B56" s="3" t="s">
        <v>59</v>
      </c>
      <c r="C56" s="4">
        <f>PRODUCT($D$56:$E$56)</f>
        <v>966.20999999999992</v>
      </c>
      <c r="D56" s="3">
        <v>107</v>
      </c>
      <c r="E56" s="4">
        <v>9.0299999999999994</v>
      </c>
    </row>
    <row r="57" spans="1:5" x14ac:dyDescent="0.2">
      <c r="A57" s="3">
        <v>11301915</v>
      </c>
      <c r="B57" s="3" t="s">
        <v>60</v>
      </c>
      <c r="C57" s="4">
        <f>PRODUCT($D$57:$E$57)</f>
        <v>999.02</v>
      </c>
      <c r="D57" s="3">
        <v>11</v>
      </c>
      <c r="E57" s="4">
        <v>90.82</v>
      </c>
    </row>
    <row r="58" spans="1:5" x14ac:dyDescent="0.2">
      <c r="A58" s="3">
        <v>11603774</v>
      </c>
      <c r="B58" s="3" t="s">
        <v>61</v>
      </c>
      <c r="C58" s="4">
        <f>PRODUCT($D$58:$E$58)</f>
        <v>866.03000000000009</v>
      </c>
      <c r="D58" s="3">
        <v>11</v>
      </c>
      <c r="E58" s="4">
        <v>78.73</v>
      </c>
    </row>
    <row r="59" spans="1:5" x14ac:dyDescent="0.2">
      <c r="A59" s="3">
        <v>17422149</v>
      </c>
      <c r="B59" s="3" t="s">
        <v>62</v>
      </c>
      <c r="C59" s="4">
        <f>PRODUCT($D$59:$E$59)</f>
        <v>853.05</v>
      </c>
      <c r="D59" s="3">
        <v>11</v>
      </c>
      <c r="E59" s="4">
        <v>77.55</v>
      </c>
    </row>
    <row r="60" spans="1:5" x14ac:dyDescent="0.2">
      <c r="A60" s="3">
        <v>11405393</v>
      </c>
      <c r="B60" s="3" t="s">
        <v>63</v>
      </c>
      <c r="C60" s="4">
        <f>PRODUCT($D$60:$E$60)</f>
        <v>969</v>
      </c>
      <c r="D60" s="3">
        <v>10</v>
      </c>
      <c r="E60" s="4">
        <v>96.9</v>
      </c>
    </row>
    <row r="61" spans="1:5" x14ac:dyDescent="0.2">
      <c r="A61" s="3">
        <v>11603511</v>
      </c>
      <c r="B61" s="3" t="s">
        <v>64</v>
      </c>
      <c r="C61" s="4">
        <f>PRODUCT($D$61:$E$61)</f>
        <v>313</v>
      </c>
      <c r="D61" s="3">
        <v>5</v>
      </c>
      <c r="E61" s="4">
        <v>62.6</v>
      </c>
    </row>
    <row r="62" spans="1:5" x14ac:dyDescent="0.2">
      <c r="A62" s="3">
        <v>11600774</v>
      </c>
      <c r="B62" s="3" t="s">
        <v>65</v>
      </c>
      <c r="C62" s="4">
        <f>PRODUCT($D$62:$E$62)</f>
        <v>568.1</v>
      </c>
      <c r="D62" s="3">
        <v>23</v>
      </c>
      <c r="E62" s="4">
        <v>24.7</v>
      </c>
    </row>
    <row r="63" spans="1:5" x14ac:dyDescent="0.2">
      <c r="A63" s="3">
        <v>10013659</v>
      </c>
      <c r="B63" s="3" t="s">
        <v>66</v>
      </c>
      <c r="C63" s="4">
        <f>PRODUCT($D$63:$E$63)</f>
        <v>197</v>
      </c>
      <c r="D63" s="3">
        <v>2</v>
      </c>
      <c r="E63" s="4">
        <v>98.5</v>
      </c>
    </row>
    <row r="64" spans="1:5" x14ac:dyDescent="0.2">
      <c r="A64" s="3">
        <v>11309356</v>
      </c>
      <c r="B64" s="3" t="s">
        <v>67</v>
      </c>
      <c r="C64" s="4">
        <f>PRODUCT($D$64:$E$64)</f>
        <v>813.12000000000012</v>
      </c>
      <c r="D64" s="3">
        <v>24</v>
      </c>
      <c r="E64" s="4">
        <v>33.880000000000003</v>
      </c>
    </row>
    <row r="65" spans="1:5" x14ac:dyDescent="0.2">
      <c r="A65" s="3">
        <v>11401166</v>
      </c>
      <c r="B65" s="3" t="s">
        <v>68</v>
      </c>
      <c r="C65" s="4">
        <f>PRODUCT($D$65:$E$65)</f>
        <v>144</v>
      </c>
      <c r="D65" s="3">
        <v>10</v>
      </c>
      <c r="E65" s="4">
        <v>14.4</v>
      </c>
    </row>
    <row r="66" spans="1:5" x14ac:dyDescent="0.2">
      <c r="A66" s="3">
        <v>10001437</v>
      </c>
      <c r="B66" s="3" t="s">
        <v>69</v>
      </c>
      <c r="C66" s="4">
        <f>PRODUCT($D$66:$E$66)</f>
        <v>988.95</v>
      </c>
      <c r="D66" s="3">
        <v>15</v>
      </c>
      <c r="E66" s="4">
        <v>65.930000000000007</v>
      </c>
    </row>
    <row r="67" spans="1:5" x14ac:dyDescent="0.2">
      <c r="A67" s="3">
        <v>17201127</v>
      </c>
      <c r="B67" s="3" t="s">
        <v>70</v>
      </c>
      <c r="C67" s="4">
        <f>PRODUCT($D$67:$E$67)</f>
        <v>911.96</v>
      </c>
      <c r="D67" s="3">
        <v>14</v>
      </c>
      <c r="E67" s="4">
        <v>65.14</v>
      </c>
    </row>
    <row r="68" spans="1:5" x14ac:dyDescent="0.2">
      <c r="A68" s="3">
        <v>11006051</v>
      </c>
      <c r="B68" s="3" t="s">
        <v>71</v>
      </c>
      <c r="C68" s="4">
        <f>PRODUCT($D$68:$E$68)</f>
        <v>847</v>
      </c>
      <c r="D68" s="3">
        <v>14</v>
      </c>
      <c r="E68" s="4">
        <v>60.5</v>
      </c>
    </row>
    <row r="69" spans="1:5" x14ac:dyDescent="0.2">
      <c r="A69" s="3">
        <v>11201683</v>
      </c>
      <c r="B69" s="3" t="s">
        <v>72</v>
      </c>
      <c r="C69" s="4">
        <f>PRODUCT($D$69:$E$69)</f>
        <v>541.94000000000005</v>
      </c>
      <c r="D69" s="3">
        <v>49</v>
      </c>
      <c r="E69" s="4">
        <v>11.06</v>
      </c>
    </row>
    <row r="70" spans="1:5" x14ac:dyDescent="0.2">
      <c r="A70" s="3">
        <v>11603730</v>
      </c>
      <c r="B70" s="3" t="s">
        <v>73</v>
      </c>
      <c r="C70" s="4">
        <f>PRODUCT($D$70:$E$70)</f>
        <v>357</v>
      </c>
      <c r="D70" s="3">
        <v>4</v>
      </c>
      <c r="E70" s="4">
        <v>89.25</v>
      </c>
    </row>
    <row r="71" spans="1:5" x14ac:dyDescent="0.2">
      <c r="A71" s="3">
        <v>17415420</v>
      </c>
      <c r="B71" s="3" t="s">
        <v>74</v>
      </c>
      <c r="C71" s="4">
        <f>PRODUCT($D$71:$E$71)</f>
        <v>258</v>
      </c>
      <c r="D71" s="3">
        <v>4</v>
      </c>
      <c r="E71" s="4">
        <v>64.5</v>
      </c>
    </row>
    <row r="72" spans="1:5" x14ac:dyDescent="0.2">
      <c r="A72" s="3">
        <v>17229411</v>
      </c>
      <c r="B72" s="3" t="s">
        <v>75</v>
      </c>
      <c r="C72" s="4">
        <f>PRODUCT($D$72:$E$72)</f>
        <v>912.93999999999994</v>
      </c>
      <c r="D72" s="3">
        <v>14</v>
      </c>
      <c r="E72" s="4">
        <v>65.209999999999994</v>
      </c>
    </row>
    <row r="73" spans="1:5" x14ac:dyDescent="0.2">
      <c r="A73" s="3">
        <v>11006006</v>
      </c>
      <c r="B73" s="3" t="s">
        <v>76</v>
      </c>
      <c r="C73" s="4">
        <f>PRODUCT($D$73:$E$73)</f>
        <v>321.93</v>
      </c>
      <c r="D73" s="3">
        <v>21</v>
      </c>
      <c r="E73" s="4">
        <v>15.33</v>
      </c>
    </row>
    <row r="74" spans="1:5" x14ac:dyDescent="0.2">
      <c r="A74" s="3">
        <v>11309198</v>
      </c>
      <c r="B74" s="3" t="s">
        <v>77</v>
      </c>
      <c r="C74" s="4">
        <f>PRODUCT($D$74:$E$74)</f>
        <v>367</v>
      </c>
      <c r="D74" s="3">
        <v>4</v>
      </c>
      <c r="E74" s="4">
        <v>91.75</v>
      </c>
    </row>
    <row r="75" spans="1:5" x14ac:dyDescent="0.2">
      <c r="A75" s="3">
        <v>11302472</v>
      </c>
      <c r="B75" s="3" t="s">
        <v>78</v>
      </c>
      <c r="C75" s="4">
        <f>PRODUCT($D$75:$E$75)</f>
        <v>668.04</v>
      </c>
      <c r="D75" s="3">
        <v>12</v>
      </c>
      <c r="E75" s="4">
        <v>55.67</v>
      </c>
    </row>
    <row r="76" spans="1:5" x14ac:dyDescent="0.2">
      <c r="A76" s="3">
        <v>11312264</v>
      </c>
      <c r="B76" s="3" t="s">
        <v>79</v>
      </c>
      <c r="C76" s="4">
        <f>PRODUCT($D$76:$E$76)</f>
        <v>315</v>
      </c>
      <c r="D76" s="3">
        <v>4</v>
      </c>
      <c r="E76" s="4">
        <v>78.75</v>
      </c>
    </row>
    <row r="77" spans="1:5" x14ac:dyDescent="0.2">
      <c r="A77" s="3">
        <v>17004064</v>
      </c>
      <c r="B77" s="3" t="s">
        <v>80</v>
      </c>
      <c r="C77" s="4">
        <f>PRODUCT($D$77:$E$77)</f>
        <v>211</v>
      </c>
      <c r="D77" s="3">
        <v>4</v>
      </c>
      <c r="E77" s="4">
        <v>52.75</v>
      </c>
    </row>
    <row r="78" spans="1:5" x14ac:dyDescent="0.2">
      <c r="A78" s="3">
        <v>17002487</v>
      </c>
      <c r="B78" s="3" t="s">
        <v>81</v>
      </c>
      <c r="C78" s="4">
        <f>PRODUCT($D$78:$E$78)</f>
        <v>819</v>
      </c>
      <c r="D78" s="3">
        <v>10</v>
      </c>
      <c r="E78" s="4">
        <v>81.900000000000006</v>
      </c>
    </row>
    <row r="79" spans="1:5" x14ac:dyDescent="0.2">
      <c r="A79" s="3">
        <v>10013543</v>
      </c>
      <c r="B79" s="3" t="s">
        <v>82</v>
      </c>
      <c r="C79" s="4">
        <f>PRODUCT($D$79:$E$79)</f>
        <v>752.96</v>
      </c>
      <c r="D79" s="3">
        <v>16</v>
      </c>
      <c r="E79" s="4">
        <v>47.06</v>
      </c>
    </row>
    <row r="80" spans="1:5" x14ac:dyDescent="0.2">
      <c r="A80" s="3">
        <v>10002670</v>
      </c>
      <c r="B80" s="3" t="s">
        <v>83</v>
      </c>
      <c r="C80" s="4">
        <f>PRODUCT($D$80:$E$80)</f>
        <v>619.02</v>
      </c>
      <c r="D80" s="3">
        <v>6</v>
      </c>
      <c r="E80" s="4">
        <v>103.17</v>
      </c>
    </row>
    <row r="81" spans="1:5" x14ac:dyDescent="0.2">
      <c r="A81" s="3">
        <v>10017299</v>
      </c>
      <c r="B81" s="3" t="s">
        <v>84</v>
      </c>
      <c r="C81" s="4">
        <f>PRODUCT($D$81:$E$81)</f>
        <v>619.05999999999995</v>
      </c>
      <c r="D81" s="3">
        <v>13</v>
      </c>
      <c r="E81" s="4">
        <v>47.62</v>
      </c>
    </row>
    <row r="82" spans="1:5" x14ac:dyDescent="0.2">
      <c r="A82" s="3">
        <v>17003472</v>
      </c>
      <c r="B82" s="3" t="s">
        <v>85</v>
      </c>
      <c r="C82" s="4">
        <f>PRODUCT($D$82:$E$82)</f>
        <v>664.02</v>
      </c>
      <c r="D82" s="3">
        <v>7</v>
      </c>
      <c r="E82" s="4">
        <v>94.86</v>
      </c>
    </row>
    <row r="83" spans="1:5" x14ac:dyDescent="0.2">
      <c r="A83" s="3">
        <v>10003227</v>
      </c>
      <c r="B83" s="3" t="s">
        <v>86</v>
      </c>
      <c r="C83" s="4">
        <f>PRODUCT($D$83:$E$83)</f>
        <v>323</v>
      </c>
      <c r="D83" s="3">
        <v>4</v>
      </c>
      <c r="E83" s="4">
        <v>80.75</v>
      </c>
    </row>
    <row r="84" spans="1:5" x14ac:dyDescent="0.2">
      <c r="A84" s="3">
        <v>11201187</v>
      </c>
      <c r="B84" s="3" t="s">
        <v>87</v>
      </c>
      <c r="C84" s="4">
        <f>PRODUCT($D$84:$E$84)</f>
        <v>385.04</v>
      </c>
      <c r="D84" s="3">
        <v>8</v>
      </c>
      <c r="E84" s="4">
        <v>48.13</v>
      </c>
    </row>
    <row r="85" spans="1:5" x14ac:dyDescent="0.2">
      <c r="A85" s="3">
        <v>11401144</v>
      </c>
      <c r="B85" s="3" t="s">
        <v>88</v>
      </c>
      <c r="C85" s="4">
        <f>PRODUCT($D$85:$E$85)</f>
        <v>586.81999999999994</v>
      </c>
      <c r="D85" s="3">
        <v>37</v>
      </c>
      <c r="E85" s="4">
        <v>15.86</v>
      </c>
    </row>
    <row r="86" spans="1:5" x14ac:dyDescent="0.2">
      <c r="A86" s="3">
        <v>11502227</v>
      </c>
      <c r="B86" s="3" t="s">
        <v>89</v>
      </c>
      <c r="C86" s="4">
        <f>PRODUCT($D$86:$E$86)</f>
        <v>691</v>
      </c>
      <c r="D86" s="3">
        <v>10</v>
      </c>
      <c r="E86" s="4">
        <v>69.099999999999994</v>
      </c>
    </row>
    <row r="87" spans="1:5" x14ac:dyDescent="0.2">
      <c r="A87" s="3">
        <v>11404485</v>
      </c>
      <c r="B87" s="3" t="s">
        <v>90</v>
      </c>
      <c r="C87" s="4">
        <f>PRODUCT($D$87:$E$87)</f>
        <v>704.06000000000006</v>
      </c>
      <c r="D87" s="3">
        <v>47</v>
      </c>
      <c r="E87" s="4">
        <v>14.98</v>
      </c>
    </row>
    <row r="88" spans="1:5" x14ac:dyDescent="0.2">
      <c r="A88" s="3">
        <v>11405210</v>
      </c>
      <c r="B88" s="3" t="s">
        <v>91</v>
      </c>
      <c r="C88" s="4">
        <f>PRODUCT($D$88:$E$88)</f>
        <v>414</v>
      </c>
      <c r="D88" s="3">
        <v>8</v>
      </c>
      <c r="E88" s="4">
        <v>51.75</v>
      </c>
    </row>
    <row r="89" spans="1:5" x14ac:dyDescent="0.2">
      <c r="A89" s="3">
        <v>17300330</v>
      </c>
      <c r="B89" s="3" t="s">
        <v>92</v>
      </c>
      <c r="C89" s="4">
        <f>PRODUCT($D$89:$E$89)</f>
        <v>910.98</v>
      </c>
      <c r="D89" s="3">
        <v>9</v>
      </c>
      <c r="E89" s="4">
        <v>101.22</v>
      </c>
    </row>
    <row r="90" spans="1:5" x14ac:dyDescent="0.2">
      <c r="A90" s="3">
        <v>11502094</v>
      </c>
      <c r="B90" s="3" t="s">
        <v>93</v>
      </c>
      <c r="C90" s="4">
        <f>PRODUCT($D$90:$E$90)</f>
        <v>819.99</v>
      </c>
      <c r="D90" s="3">
        <v>9</v>
      </c>
      <c r="E90" s="4">
        <v>91.11</v>
      </c>
    </row>
    <row r="91" spans="1:5" x14ac:dyDescent="0.2">
      <c r="A91" s="3">
        <v>11603214</v>
      </c>
      <c r="B91" s="3" t="s">
        <v>94</v>
      </c>
      <c r="C91" s="4">
        <f>PRODUCT($D$91:$E$91)</f>
        <v>786</v>
      </c>
      <c r="D91" s="3">
        <v>262</v>
      </c>
      <c r="E91" s="4">
        <v>3</v>
      </c>
    </row>
    <row r="92" spans="1:5" x14ac:dyDescent="0.2">
      <c r="A92" s="3">
        <v>17001509</v>
      </c>
      <c r="B92" s="3" t="s">
        <v>95</v>
      </c>
      <c r="C92" s="4">
        <f>PRODUCT($D$92:$E$92)</f>
        <v>34</v>
      </c>
      <c r="D92" s="3">
        <v>1</v>
      </c>
      <c r="E92" s="4">
        <v>34</v>
      </c>
    </row>
    <row r="93" spans="1:5" x14ac:dyDescent="0.2">
      <c r="A93" s="3">
        <v>11312087</v>
      </c>
      <c r="B93" s="3" t="s">
        <v>96</v>
      </c>
      <c r="C93" s="4">
        <f>PRODUCT($D$93:$E$93)</f>
        <v>590.08000000000004</v>
      </c>
      <c r="D93" s="3">
        <v>16</v>
      </c>
      <c r="E93" s="4">
        <v>36.880000000000003</v>
      </c>
    </row>
    <row r="94" spans="1:5" x14ac:dyDescent="0.2">
      <c r="A94" s="3">
        <v>10017517</v>
      </c>
      <c r="B94" s="3" t="s">
        <v>97</v>
      </c>
      <c r="C94" s="4">
        <f>PRODUCT($D$94:$E$94)</f>
        <v>508</v>
      </c>
      <c r="D94" s="3">
        <v>8</v>
      </c>
      <c r="E94" s="4">
        <v>63.5</v>
      </c>
    </row>
    <row r="95" spans="1:5" x14ac:dyDescent="0.2">
      <c r="A95" s="3">
        <v>11405162</v>
      </c>
      <c r="B95" s="3" t="s">
        <v>98</v>
      </c>
      <c r="C95" s="4">
        <f>PRODUCT($D$95:$E$95)</f>
        <v>722.04</v>
      </c>
      <c r="D95" s="3">
        <v>11</v>
      </c>
      <c r="E95" s="4">
        <v>65.64</v>
      </c>
    </row>
    <row r="96" spans="1:5" x14ac:dyDescent="0.2">
      <c r="A96" s="3">
        <v>17205162</v>
      </c>
      <c r="B96" s="3" t="s">
        <v>99</v>
      </c>
      <c r="C96" s="4">
        <f>PRODUCT($D$96:$E$96)</f>
        <v>279</v>
      </c>
      <c r="D96" s="3">
        <v>6</v>
      </c>
      <c r="E96" s="4">
        <v>46.5</v>
      </c>
    </row>
    <row r="97" spans="1:5" x14ac:dyDescent="0.2">
      <c r="A97" s="3">
        <v>11302002</v>
      </c>
      <c r="B97" s="3" t="s">
        <v>100</v>
      </c>
      <c r="C97" s="4">
        <f>PRODUCT($D$97:$E$97)</f>
        <v>984.98</v>
      </c>
      <c r="D97" s="3">
        <v>17</v>
      </c>
      <c r="E97" s="4">
        <v>57.94</v>
      </c>
    </row>
    <row r="98" spans="1:5" x14ac:dyDescent="0.2">
      <c r="A98" s="3">
        <v>11404663</v>
      </c>
      <c r="B98" s="3" t="s">
        <v>101</v>
      </c>
      <c r="C98" s="4">
        <f>PRODUCT($D$98:$E$98)</f>
        <v>707.96</v>
      </c>
      <c r="D98" s="3">
        <v>11</v>
      </c>
      <c r="E98" s="4">
        <v>64.36</v>
      </c>
    </row>
    <row r="99" spans="1:5" x14ac:dyDescent="0.2">
      <c r="A99" s="3">
        <v>17204663</v>
      </c>
      <c r="B99" s="3" t="s">
        <v>102</v>
      </c>
      <c r="C99" s="4">
        <f>PRODUCT($D$99:$E$99)</f>
        <v>603.04</v>
      </c>
      <c r="D99" s="3">
        <v>8</v>
      </c>
      <c r="E99" s="4">
        <v>75.38</v>
      </c>
    </row>
    <row r="100" spans="1:5" x14ac:dyDescent="0.2">
      <c r="A100" s="3">
        <v>11501595</v>
      </c>
      <c r="B100" s="3" t="s">
        <v>103</v>
      </c>
      <c r="C100" s="4">
        <f>PRODUCT($D$100:$E$100)</f>
        <v>931.24</v>
      </c>
      <c r="D100" s="3">
        <v>62</v>
      </c>
      <c r="E100" s="4">
        <v>15.02</v>
      </c>
    </row>
    <row r="101" spans="1:5" x14ac:dyDescent="0.2">
      <c r="A101" s="3">
        <v>11309997</v>
      </c>
      <c r="B101" s="3" t="s">
        <v>104</v>
      </c>
      <c r="C101" s="4">
        <f>PRODUCT($D$101:$E$101)</f>
        <v>870.03</v>
      </c>
      <c r="D101" s="3">
        <v>9</v>
      </c>
      <c r="E101" s="4">
        <v>96.67</v>
      </c>
    </row>
    <row r="102" spans="1:5" x14ac:dyDescent="0.2">
      <c r="A102" s="3">
        <v>11405456</v>
      </c>
      <c r="B102" s="3" t="s">
        <v>105</v>
      </c>
      <c r="C102" s="4">
        <f>PRODUCT($D$102:$E$102)</f>
        <v>0</v>
      </c>
      <c r="D102" s="3">
        <v>0</v>
      </c>
      <c r="E102" s="4">
        <v>10</v>
      </c>
    </row>
    <row r="103" spans="1:5" x14ac:dyDescent="0.2">
      <c r="A103" s="3">
        <v>11005331</v>
      </c>
      <c r="B103" s="3" t="s">
        <v>106</v>
      </c>
      <c r="C103" s="4">
        <f>PRODUCT($D$103:$E$103)</f>
        <v>961</v>
      </c>
      <c r="D103" s="3">
        <v>961</v>
      </c>
      <c r="E103" s="4">
        <v>1</v>
      </c>
    </row>
    <row r="104" spans="1:5" x14ac:dyDescent="0.2">
      <c r="A104" s="3">
        <v>11404875</v>
      </c>
      <c r="B104" s="3" t="s">
        <v>107</v>
      </c>
      <c r="C104" s="4">
        <f>PRODUCT($D$104:$E$104)</f>
        <v>114.99</v>
      </c>
      <c r="D104" s="3">
        <v>3</v>
      </c>
      <c r="E104" s="4">
        <v>38.33</v>
      </c>
    </row>
    <row r="105" spans="1:5" x14ac:dyDescent="0.2">
      <c r="A105" s="3">
        <v>17204875</v>
      </c>
      <c r="B105" s="3" t="s">
        <v>108</v>
      </c>
      <c r="C105" s="4">
        <f>PRODUCT($D$105:$E$105)</f>
        <v>754</v>
      </c>
      <c r="D105" s="3">
        <v>10</v>
      </c>
      <c r="E105" s="4">
        <v>75.400000000000006</v>
      </c>
    </row>
    <row r="106" spans="1:5" x14ac:dyDescent="0.2">
      <c r="A106" s="3">
        <v>14201180</v>
      </c>
      <c r="B106" s="3" t="s">
        <v>109</v>
      </c>
      <c r="C106" s="4">
        <f>PRODUCT($D$106:$E$106)</f>
        <v>493.02</v>
      </c>
      <c r="D106" s="3">
        <v>18</v>
      </c>
      <c r="E106" s="4">
        <v>27.39</v>
      </c>
    </row>
    <row r="107" spans="1:5" x14ac:dyDescent="0.2">
      <c r="A107" s="3">
        <v>11312364</v>
      </c>
      <c r="B107" s="3" t="s">
        <v>110</v>
      </c>
      <c r="C107" s="4">
        <f>PRODUCT($D$107:$E$107)</f>
        <v>561.96</v>
      </c>
      <c r="D107" s="3">
        <v>12</v>
      </c>
      <c r="E107" s="4">
        <v>46.83</v>
      </c>
    </row>
    <row r="108" spans="1:5" x14ac:dyDescent="0.2">
      <c r="A108" s="3">
        <v>10018016</v>
      </c>
      <c r="B108" s="3" t="s">
        <v>111</v>
      </c>
      <c r="C108" s="4">
        <f>PRODUCT($D$108:$E$108)</f>
        <v>84</v>
      </c>
      <c r="D108" s="3">
        <v>1</v>
      </c>
      <c r="E108" s="4">
        <v>84</v>
      </c>
    </row>
    <row r="109" spans="1:5" x14ac:dyDescent="0.2">
      <c r="A109" s="3">
        <v>17001562</v>
      </c>
      <c r="B109" s="3" t="s">
        <v>112</v>
      </c>
      <c r="C109" s="4">
        <f>PRODUCT($D$109:$E$109)</f>
        <v>196</v>
      </c>
      <c r="D109" s="3">
        <v>4</v>
      </c>
      <c r="E109" s="4">
        <v>49</v>
      </c>
    </row>
    <row r="110" spans="1:5" x14ac:dyDescent="0.2">
      <c r="A110" s="3">
        <v>11502721</v>
      </c>
      <c r="B110" s="3" t="s">
        <v>113</v>
      </c>
      <c r="C110" s="4">
        <f>PRODUCT($D$110:$E$110)</f>
        <v>420</v>
      </c>
      <c r="D110" s="3">
        <v>8</v>
      </c>
      <c r="E110" s="4">
        <v>52.5</v>
      </c>
    </row>
    <row r="111" spans="1:5" x14ac:dyDescent="0.2">
      <c r="A111" s="3">
        <v>10016543</v>
      </c>
      <c r="B111" s="3" t="s">
        <v>114</v>
      </c>
      <c r="C111" s="4">
        <f>PRODUCT($D$111:$E$111)</f>
        <v>95</v>
      </c>
      <c r="D111" s="3">
        <v>4</v>
      </c>
      <c r="E111" s="4">
        <v>23.75</v>
      </c>
    </row>
    <row r="112" spans="1:5" x14ac:dyDescent="0.2">
      <c r="A112" s="3">
        <v>10018111</v>
      </c>
      <c r="B112" s="3" t="s">
        <v>115</v>
      </c>
      <c r="C112" s="4">
        <f>PRODUCT($D$112:$E$112)</f>
        <v>15</v>
      </c>
      <c r="D112" s="3">
        <v>1</v>
      </c>
      <c r="E112" s="4">
        <v>15</v>
      </c>
    </row>
    <row r="113" spans="1:5" x14ac:dyDescent="0.2">
      <c r="A113" s="3">
        <v>17415706</v>
      </c>
      <c r="B113" s="3" t="s">
        <v>116</v>
      </c>
      <c r="C113" s="4">
        <f>PRODUCT($D$113:$E$113)</f>
        <v>282.99</v>
      </c>
      <c r="D113" s="3">
        <v>3</v>
      </c>
      <c r="E113" s="4">
        <v>94.33</v>
      </c>
    </row>
    <row r="114" spans="1:5" x14ac:dyDescent="0.2">
      <c r="A114" s="3">
        <v>11001574</v>
      </c>
      <c r="B114" s="3" t="s">
        <v>117</v>
      </c>
      <c r="C114" s="4">
        <f>PRODUCT($D$114:$E$114)</f>
        <v>977.90000000000009</v>
      </c>
      <c r="D114" s="3">
        <v>35</v>
      </c>
      <c r="E114" s="4">
        <v>27.94</v>
      </c>
    </row>
    <row r="115" spans="1:5" x14ac:dyDescent="0.2">
      <c r="A115" s="3">
        <v>10001492</v>
      </c>
      <c r="B115" s="3" t="s">
        <v>118</v>
      </c>
      <c r="C115" s="4">
        <f>PRODUCT($D$115:$E$115)</f>
        <v>848</v>
      </c>
      <c r="D115" s="3">
        <v>25</v>
      </c>
      <c r="E115" s="4">
        <v>33.92</v>
      </c>
    </row>
    <row r="116" spans="1:5" x14ac:dyDescent="0.2">
      <c r="A116" s="3">
        <v>11500493</v>
      </c>
      <c r="B116" s="3" t="s">
        <v>119</v>
      </c>
      <c r="C116" s="4">
        <f>PRODUCT($D$116:$E$116)</f>
        <v>833.03000000000009</v>
      </c>
      <c r="D116" s="3">
        <v>11</v>
      </c>
      <c r="E116" s="4">
        <v>75.73</v>
      </c>
    </row>
    <row r="117" spans="1:5" x14ac:dyDescent="0.2">
      <c r="A117" s="3">
        <v>17001817</v>
      </c>
      <c r="B117" s="3" t="s">
        <v>120</v>
      </c>
      <c r="C117" s="4">
        <f>PRODUCT($D$117:$E$117)</f>
        <v>342</v>
      </c>
      <c r="D117" s="3">
        <v>10</v>
      </c>
      <c r="E117" s="4">
        <v>34.200000000000003</v>
      </c>
    </row>
    <row r="118" spans="1:5" x14ac:dyDescent="0.2">
      <c r="A118" s="3">
        <v>11604123</v>
      </c>
      <c r="B118" s="3" t="s">
        <v>121</v>
      </c>
      <c r="C118" s="4">
        <f>PRODUCT($D$118:$E$118)</f>
        <v>985.05000000000007</v>
      </c>
      <c r="D118" s="3">
        <v>15</v>
      </c>
      <c r="E118" s="4">
        <v>65.67</v>
      </c>
    </row>
    <row r="119" spans="1:5" x14ac:dyDescent="0.2">
      <c r="A119" s="3">
        <v>11600149</v>
      </c>
      <c r="B119" s="3" t="s">
        <v>122</v>
      </c>
      <c r="C119" s="4">
        <f>PRODUCT($D$119:$E$119)</f>
        <v>969</v>
      </c>
      <c r="D119" s="3">
        <v>10</v>
      </c>
      <c r="E119" s="4">
        <v>96.9</v>
      </c>
    </row>
    <row r="120" spans="1:5" x14ac:dyDescent="0.2">
      <c r="A120" s="3">
        <v>11601722</v>
      </c>
      <c r="B120" s="3" t="s">
        <v>123</v>
      </c>
      <c r="C120" s="4">
        <f>PRODUCT($D$120:$E$120)</f>
        <v>33.99</v>
      </c>
      <c r="D120" s="3">
        <v>3</v>
      </c>
      <c r="E120" s="4">
        <v>11.33</v>
      </c>
    </row>
    <row r="121" spans="1:5" x14ac:dyDescent="0.2">
      <c r="A121" s="3">
        <v>17005862</v>
      </c>
      <c r="B121" s="3" t="s">
        <v>124</v>
      </c>
      <c r="C121" s="4">
        <f>PRODUCT($D$121:$E$121)</f>
        <v>620</v>
      </c>
      <c r="D121" s="3">
        <v>8</v>
      </c>
      <c r="E121" s="4">
        <v>77.5</v>
      </c>
    </row>
    <row r="122" spans="1:5" x14ac:dyDescent="0.2">
      <c r="A122" s="3">
        <v>11301640</v>
      </c>
      <c r="B122" s="3" t="s">
        <v>125</v>
      </c>
      <c r="C122" s="4">
        <f>PRODUCT($D$122:$E$122)</f>
        <v>297.99</v>
      </c>
      <c r="D122" s="3">
        <v>3</v>
      </c>
      <c r="E122" s="4">
        <v>99.33</v>
      </c>
    </row>
    <row r="123" spans="1:5" x14ac:dyDescent="0.2">
      <c r="A123" s="3">
        <v>11310912</v>
      </c>
      <c r="B123" s="3" t="s">
        <v>126</v>
      </c>
      <c r="C123" s="4">
        <f>PRODUCT($D$123:$E$123)</f>
        <v>979.05</v>
      </c>
      <c r="D123" s="3">
        <v>15</v>
      </c>
      <c r="E123" s="4">
        <v>65.27</v>
      </c>
    </row>
    <row r="124" spans="1:5" x14ac:dyDescent="0.2">
      <c r="A124" s="3">
        <v>11604422</v>
      </c>
      <c r="B124" s="3" t="s">
        <v>127</v>
      </c>
      <c r="C124" s="4">
        <f>PRODUCT($D$124:$E$124)</f>
        <v>0</v>
      </c>
      <c r="D124" s="3">
        <v>0</v>
      </c>
      <c r="E124" s="4">
        <v>50</v>
      </c>
    </row>
    <row r="125" spans="1:5" x14ac:dyDescent="0.2">
      <c r="A125" s="3">
        <v>10016599</v>
      </c>
      <c r="B125" s="3" t="s">
        <v>128</v>
      </c>
      <c r="C125" s="4">
        <f>PRODUCT($D$125:$E$125)</f>
        <v>27</v>
      </c>
      <c r="D125" s="3">
        <v>1</v>
      </c>
      <c r="E125" s="4">
        <v>27</v>
      </c>
    </row>
    <row r="126" spans="1:5" x14ac:dyDescent="0.2">
      <c r="A126" s="3">
        <v>11402858</v>
      </c>
      <c r="B126" s="3" t="s">
        <v>129</v>
      </c>
      <c r="C126" s="4">
        <f>PRODUCT($D$126:$E$126)</f>
        <v>313.98</v>
      </c>
      <c r="D126" s="3">
        <v>6</v>
      </c>
      <c r="E126" s="4">
        <v>52.33</v>
      </c>
    </row>
    <row r="127" spans="1:5" x14ac:dyDescent="0.2">
      <c r="A127" s="3">
        <v>17000568</v>
      </c>
      <c r="B127" s="3" t="s">
        <v>130</v>
      </c>
      <c r="C127" s="4">
        <f>PRODUCT($D$127:$E$127)</f>
        <v>121</v>
      </c>
      <c r="D127" s="3">
        <v>2</v>
      </c>
      <c r="E127" s="4">
        <v>60.5</v>
      </c>
    </row>
    <row r="128" spans="1:5" x14ac:dyDescent="0.2">
      <c r="A128" s="3">
        <v>10004449</v>
      </c>
      <c r="B128" s="3" t="s">
        <v>131</v>
      </c>
      <c r="C128" s="4">
        <f>PRODUCT($D$128:$E$128)</f>
        <v>103</v>
      </c>
      <c r="D128" s="3">
        <v>1</v>
      </c>
      <c r="E128" s="4">
        <v>103</v>
      </c>
    </row>
    <row r="129" spans="1:5" x14ac:dyDescent="0.2">
      <c r="A129" s="3">
        <v>11502398</v>
      </c>
      <c r="B129" s="3" t="s">
        <v>132</v>
      </c>
      <c r="C129" s="4">
        <f>PRODUCT($D$129:$E$129)</f>
        <v>334.95</v>
      </c>
      <c r="D129" s="3">
        <v>21</v>
      </c>
      <c r="E129" s="4">
        <v>15.95</v>
      </c>
    </row>
    <row r="130" spans="1:5" x14ac:dyDescent="0.2">
      <c r="A130" s="3">
        <v>11500135</v>
      </c>
      <c r="B130" s="3" t="s">
        <v>133</v>
      </c>
      <c r="C130" s="4">
        <f>PRODUCT($D$130:$E$130)</f>
        <v>679.97</v>
      </c>
      <c r="D130" s="3">
        <v>97</v>
      </c>
      <c r="E130" s="4">
        <v>7.01</v>
      </c>
    </row>
    <row r="131" spans="1:5" x14ac:dyDescent="0.2">
      <c r="A131" s="3">
        <v>10009847</v>
      </c>
      <c r="B131" s="3" t="s">
        <v>134</v>
      </c>
      <c r="C131" s="4">
        <f>PRODUCT($D$131:$E$131)</f>
        <v>830.08</v>
      </c>
      <c r="D131" s="3">
        <v>32</v>
      </c>
      <c r="E131" s="4">
        <v>25.94</v>
      </c>
    </row>
    <row r="132" spans="1:5" x14ac:dyDescent="0.2">
      <c r="A132" s="3">
        <v>11500023</v>
      </c>
      <c r="B132" s="3" t="s">
        <v>135</v>
      </c>
      <c r="C132" s="4">
        <f>PRODUCT($D$132:$E$132)</f>
        <v>648</v>
      </c>
      <c r="D132" s="3">
        <v>8</v>
      </c>
      <c r="E132" s="4">
        <v>81</v>
      </c>
    </row>
    <row r="133" spans="1:5" x14ac:dyDescent="0.2">
      <c r="A133" s="3">
        <v>11006383</v>
      </c>
      <c r="B133" s="3" t="s">
        <v>136</v>
      </c>
      <c r="C133" s="4">
        <f>PRODUCT($D$133:$E$133)</f>
        <v>765</v>
      </c>
      <c r="D133" s="3">
        <v>10</v>
      </c>
      <c r="E133" s="4">
        <v>76.5</v>
      </c>
    </row>
    <row r="134" spans="1:5" x14ac:dyDescent="0.2">
      <c r="A134" s="3">
        <v>10018307</v>
      </c>
      <c r="B134" s="3" t="s">
        <v>137</v>
      </c>
      <c r="C134" s="4">
        <f>PRODUCT($D$134:$E$134)</f>
        <v>734.02</v>
      </c>
      <c r="D134" s="3">
        <v>49</v>
      </c>
      <c r="E134" s="4">
        <v>14.98</v>
      </c>
    </row>
    <row r="135" spans="1:5" x14ac:dyDescent="0.2">
      <c r="A135" s="3">
        <v>11310391</v>
      </c>
      <c r="B135" s="3" t="s">
        <v>138</v>
      </c>
      <c r="C135" s="4">
        <f>PRODUCT($D$135:$E$135)</f>
        <v>927.03</v>
      </c>
      <c r="D135" s="3">
        <v>13</v>
      </c>
      <c r="E135" s="4">
        <v>71.31</v>
      </c>
    </row>
    <row r="136" spans="1:5" x14ac:dyDescent="0.2">
      <c r="A136" s="3">
        <v>17002235</v>
      </c>
      <c r="B136" s="3" t="s">
        <v>139</v>
      </c>
      <c r="C136" s="4">
        <f>PRODUCT($D$136:$E$136)</f>
        <v>791</v>
      </c>
      <c r="D136" s="3">
        <v>10</v>
      </c>
      <c r="E136" s="4">
        <v>79.099999999999994</v>
      </c>
    </row>
    <row r="137" spans="1:5" x14ac:dyDescent="0.2">
      <c r="A137" s="3">
        <v>11501406</v>
      </c>
      <c r="B137" s="3" t="s">
        <v>140</v>
      </c>
      <c r="C137" s="4">
        <f>PRODUCT($D$137:$E$137)</f>
        <v>756.07999999999993</v>
      </c>
      <c r="D137" s="3">
        <v>26</v>
      </c>
      <c r="E137" s="4">
        <v>29.08</v>
      </c>
    </row>
    <row r="138" spans="1:5" x14ac:dyDescent="0.2">
      <c r="A138" s="3">
        <v>17001206</v>
      </c>
      <c r="B138" s="3" t="s">
        <v>141</v>
      </c>
      <c r="C138" s="4">
        <f>PRODUCT($D$138:$E$138)</f>
        <v>556.02</v>
      </c>
      <c r="D138" s="3">
        <v>6</v>
      </c>
      <c r="E138" s="4">
        <v>92.67</v>
      </c>
    </row>
    <row r="139" spans="1:5" x14ac:dyDescent="0.2">
      <c r="A139" s="3">
        <v>10019034</v>
      </c>
      <c r="B139" s="3" t="s">
        <v>142</v>
      </c>
      <c r="C139" s="4">
        <f>PRODUCT($D$139:$E$139)</f>
        <v>139</v>
      </c>
      <c r="D139" s="3">
        <v>2</v>
      </c>
      <c r="E139" s="4">
        <v>69.5</v>
      </c>
    </row>
    <row r="140" spans="1:5" x14ac:dyDescent="0.2">
      <c r="A140" s="3">
        <v>17003726</v>
      </c>
      <c r="B140" s="3" t="s">
        <v>143</v>
      </c>
      <c r="C140" s="4">
        <f>PRODUCT($D$140:$E$140)</f>
        <v>229.97000000000003</v>
      </c>
      <c r="D140" s="3">
        <v>13</v>
      </c>
      <c r="E140" s="4">
        <v>17.690000000000001</v>
      </c>
    </row>
    <row r="141" spans="1:5" x14ac:dyDescent="0.2">
      <c r="A141" s="3">
        <v>11300678</v>
      </c>
      <c r="B141" s="3" t="s">
        <v>144</v>
      </c>
      <c r="C141" s="4">
        <f>PRODUCT($D$141:$E$141)</f>
        <v>774</v>
      </c>
      <c r="D141" s="3">
        <v>9</v>
      </c>
      <c r="E141" s="4">
        <v>86</v>
      </c>
    </row>
    <row r="142" spans="1:5" x14ac:dyDescent="0.2">
      <c r="A142" s="3">
        <v>17004246</v>
      </c>
      <c r="B142" s="3" t="s">
        <v>145</v>
      </c>
      <c r="C142" s="4">
        <f>PRODUCT($D$142:$E$142)</f>
        <v>248</v>
      </c>
      <c r="D142" s="3">
        <v>5</v>
      </c>
      <c r="E142" s="4">
        <v>49.6</v>
      </c>
    </row>
    <row r="143" spans="1:5" x14ac:dyDescent="0.2">
      <c r="A143" s="3">
        <v>10004180</v>
      </c>
      <c r="B143" s="3" t="s">
        <v>146</v>
      </c>
      <c r="C143" s="4">
        <f>PRODUCT($D$143:$E$143)</f>
        <v>974.05000000000007</v>
      </c>
      <c r="D143" s="3">
        <v>23</v>
      </c>
      <c r="E143" s="4">
        <v>42.35</v>
      </c>
    </row>
    <row r="144" spans="1:5" x14ac:dyDescent="0.2">
      <c r="A144" s="3">
        <v>17006834</v>
      </c>
      <c r="B144" s="3" t="s">
        <v>147</v>
      </c>
      <c r="C144" s="4">
        <f>PRODUCT($D$144:$E$144)</f>
        <v>550</v>
      </c>
      <c r="D144" s="3">
        <v>10</v>
      </c>
      <c r="E144" s="4">
        <v>55</v>
      </c>
    </row>
    <row r="145" spans="1:5" x14ac:dyDescent="0.2">
      <c r="A145" s="3">
        <v>10001272</v>
      </c>
      <c r="B145" s="3" t="s">
        <v>148</v>
      </c>
      <c r="C145" s="4">
        <f>PRODUCT($D$145:$E$145)</f>
        <v>476</v>
      </c>
      <c r="D145" s="3">
        <v>5</v>
      </c>
      <c r="E145" s="4">
        <v>95.2</v>
      </c>
    </row>
    <row r="146" spans="1:5" x14ac:dyDescent="0.2">
      <c r="A146" s="3">
        <v>11602723</v>
      </c>
      <c r="B146" s="3" t="s">
        <v>149</v>
      </c>
      <c r="C146" s="4">
        <f>PRODUCT($D$146:$E$146)</f>
        <v>258.03000000000003</v>
      </c>
      <c r="D146" s="3">
        <v>9</v>
      </c>
      <c r="E146" s="4">
        <v>28.67</v>
      </c>
    </row>
    <row r="147" spans="1:5" x14ac:dyDescent="0.2">
      <c r="A147" s="3">
        <v>11200816</v>
      </c>
      <c r="B147" s="3" t="s">
        <v>150</v>
      </c>
      <c r="C147" s="4">
        <f>PRODUCT($D$147:$E$147)</f>
        <v>378</v>
      </c>
      <c r="D147" s="3">
        <v>25</v>
      </c>
      <c r="E147" s="4">
        <v>15.12</v>
      </c>
    </row>
    <row r="148" spans="1:5" x14ac:dyDescent="0.2">
      <c r="A148" s="3">
        <v>10016376</v>
      </c>
      <c r="B148" s="3" t="s">
        <v>151</v>
      </c>
      <c r="C148" s="4">
        <f>PRODUCT($D$148:$E$148)</f>
        <v>152</v>
      </c>
      <c r="D148" s="3">
        <v>2</v>
      </c>
      <c r="E148" s="4">
        <v>76</v>
      </c>
    </row>
    <row r="149" spans="1:5" x14ac:dyDescent="0.2">
      <c r="A149" s="3">
        <v>17004392</v>
      </c>
      <c r="B149" s="3" t="s">
        <v>152</v>
      </c>
      <c r="C149" s="4">
        <f>PRODUCT($D$149:$E$149)</f>
        <v>918</v>
      </c>
      <c r="D149" s="3">
        <v>153</v>
      </c>
      <c r="E149" s="4">
        <v>6</v>
      </c>
    </row>
    <row r="150" spans="1:5" x14ac:dyDescent="0.2">
      <c r="A150" s="3">
        <v>11601707</v>
      </c>
      <c r="B150" s="3" t="s">
        <v>153</v>
      </c>
      <c r="C150" s="4">
        <f>PRODUCT($D$150:$E$150)</f>
        <v>309</v>
      </c>
      <c r="D150" s="3">
        <v>4</v>
      </c>
      <c r="E150" s="4">
        <v>77.25</v>
      </c>
    </row>
    <row r="151" spans="1:5" x14ac:dyDescent="0.2">
      <c r="A151" s="3">
        <v>11306534</v>
      </c>
      <c r="B151" s="3" t="s">
        <v>154</v>
      </c>
      <c r="C151" s="4">
        <f>PRODUCT($D$151:$E$151)</f>
        <v>773</v>
      </c>
      <c r="D151" s="3">
        <v>10</v>
      </c>
      <c r="E151" s="4">
        <v>77.3</v>
      </c>
    </row>
    <row r="152" spans="1:5" x14ac:dyDescent="0.2">
      <c r="A152" s="3">
        <v>11602707</v>
      </c>
      <c r="B152" s="3" t="s">
        <v>155</v>
      </c>
      <c r="C152" s="4">
        <f>PRODUCT($D$152:$E$152)</f>
        <v>140.01</v>
      </c>
      <c r="D152" s="3">
        <v>3</v>
      </c>
      <c r="E152" s="4">
        <v>46.67</v>
      </c>
    </row>
    <row r="153" spans="1:5" x14ac:dyDescent="0.2">
      <c r="A153" s="3">
        <v>17422663</v>
      </c>
      <c r="B153" s="3" t="s">
        <v>156</v>
      </c>
      <c r="C153" s="4">
        <f>PRODUCT($D$153:$E$153)</f>
        <v>107.01</v>
      </c>
      <c r="D153" s="3">
        <v>3</v>
      </c>
      <c r="E153" s="4">
        <v>35.67</v>
      </c>
    </row>
    <row r="154" spans="1:5" x14ac:dyDescent="0.2">
      <c r="A154" s="3">
        <v>11300462</v>
      </c>
      <c r="B154" s="3" t="s">
        <v>157</v>
      </c>
      <c r="C154" s="4">
        <f>PRODUCT($D$154:$E$154)</f>
        <v>55</v>
      </c>
      <c r="D154" s="3">
        <v>4</v>
      </c>
      <c r="E154" s="4">
        <v>13.75</v>
      </c>
    </row>
    <row r="155" spans="1:5" x14ac:dyDescent="0.2">
      <c r="A155" s="3">
        <v>11300799</v>
      </c>
      <c r="B155" s="3" t="s">
        <v>158</v>
      </c>
      <c r="C155" s="4">
        <f>PRODUCT($D$155:$E$155)</f>
        <v>921.06000000000006</v>
      </c>
      <c r="D155" s="3">
        <v>14</v>
      </c>
      <c r="E155" s="4">
        <v>65.790000000000006</v>
      </c>
    </row>
    <row r="156" spans="1:5" x14ac:dyDescent="0.2">
      <c r="A156" s="3">
        <v>14201124</v>
      </c>
      <c r="B156" s="3" t="s">
        <v>159</v>
      </c>
      <c r="C156" s="4">
        <f>PRODUCT($D$156:$E$156)</f>
        <v>373.92</v>
      </c>
      <c r="D156" s="3">
        <v>19</v>
      </c>
      <c r="E156" s="4">
        <v>19.68</v>
      </c>
    </row>
    <row r="157" spans="1:5" x14ac:dyDescent="0.2">
      <c r="A157" s="3">
        <v>17002631</v>
      </c>
      <c r="B157" s="3" t="s">
        <v>160</v>
      </c>
      <c r="C157" s="4">
        <f>PRODUCT($D$157:$E$157)</f>
        <v>753.9</v>
      </c>
      <c r="D157" s="3">
        <v>21</v>
      </c>
      <c r="E157" s="4">
        <v>35.9</v>
      </c>
    </row>
    <row r="158" spans="1:5" x14ac:dyDescent="0.2">
      <c r="A158" s="3">
        <v>10013005</v>
      </c>
      <c r="B158" s="3" t="s">
        <v>161</v>
      </c>
      <c r="C158" s="4">
        <f>PRODUCT($D$158:$E$158)</f>
        <v>623.04</v>
      </c>
      <c r="D158" s="3">
        <v>16</v>
      </c>
      <c r="E158" s="4">
        <v>38.94</v>
      </c>
    </row>
    <row r="159" spans="1:5" x14ac:dyDescent="0.2">
      <c r="A159" s="3">
        <v>11501333</v>
      </c>
      <c r="B159" s="3" t="s">
        <v>162</v>
      </c>
      <c r="C159" s="4">
        <f>PRODUCT($D$159:$E$159)</f>
        <v>151.02000000000001</v>
      </c>
      <c r="D159" s="3">
        <v>6</v>
      </c>
      <c r="E159" s="4">
        <v>25.17</v>
      </c>
    </row>
    <row r="160" spans="1:5" x14ac:dyDescent="0.2">
      <c r="A160" s="3">
        <v>17001584</v>
      </c>
      <c r="B160" s="3" t="s">
        <v>163</v>
      </c>
      <c r="C160" s="4">
        <f>PRODUCT($D$160:$E$160)</f>
        <v>639.04</v>
      </c>
      <c r="D160" s="3">
        <v>8</v>
      </c>
      <c r="E160" s="4">
        <v>79.88</v>
      </c>
    </row>
    <row r="161" spans="1:5" x14ac:dyDescent="0.2">
      <c r="A161" s="3">
        <v>11405360</v>
      </c>
      <c r="B161" s="3" t="s">
        <v>164</v>
      </c>
      <c r="C161" s="4">
        <f>PRODUCT($D$161:$E$161)</f>
        <v>57.96</v>
      </c>
      <c r="D161" s="3">
        <v>12</v>
      </c>
      <c r="E161" s="4">
        <v>4.83</v>
      </c>
    </row>
    <row r="162" spans="1:5" x14ac:dyDescent="0.2">
      <c r="A162" s="3">
        <v>17001790</v>
      </c>
      <c r="B162" s="3" t="s">
        <v>165</v>
      </c>
      <c r="C162" s="4">
        <f>PRODUCT($D$162:$E$162)</f>
        <v>104.01</v>
      </c>
      <c r="D162" s="3">
        <v>3</v>
      </c>
      <c r="E162" s="4">
        <v>34.67</v>
      </c>
    </row>
    <row r="163" spans="1:5" x14ac:dyDescent="0.2">
      <c r="A163" s="3">
        <v>11309060</v>
      </c>
      <c r="B163" s="3" t="s">
        <v>166</v>
      </c>
      <c r="C163" s="4">
        <f>PRODUCT($D$163:$E$163)</f>
        <v>370.04</v>
      </c>
      <c r="D163" s="3">
        <v>22</v>
      </c>
      <c r="E163" s="4">
        <v>16.82</v>
      </c>
    </row>
    <row r="164" spans="1:5" x14ac:dyDescent="0.2">
      <c r="A164" s="3">
        <v>11401350</v>
      </c>
      <c r="B164" s="3" t="s">
        <v>167</v>
      </c>
      <c r="C164" s="4">
        <f>PRODUCT($D$164:$E$164)</f>
        <v>660</v>
      </c>
      <c r="D164" s="3">
        <v>8</v>
      </c>
      <c r="E164" s="4">
        <v>82.5</v>
      </c>
    </row>
    <row r="165" spans="1:5" x14ac:dyDescent="0.2">
      <c r="A165" s="3">
        <v>10002825</v>
      </c>
      <c r="B165" s="3" t="s">
        <v>168</v>
      </c>
      <c r="C165" s="4">
        <f>PRODUCT($D$165:$E$165)</f>
        <v>543</v>
      </c>
      <c r="D165" s="3">
        <v>12</v>
      </c>
      <c r="E165" s="4">
        <v>45.25</v>
      </c>
    </row>
    <row r="166" spans="1:5" x14ac:dyDescent="0.2">
      <c r="A166" s="3">
        <v>17003198</v>
      </c>
      <c r="B166" s="3" t="s">
        <v>169</v>
      </c>
      <c r="C166" s="4">
        <f>PRODUCT($D$166:$E$166)</f>
        <v>249.99</v>
      </c>
      <c r="D166" s="3">
        <v>3</v>
      </c>
      <c r="E166" s="4">
        <v>83.33</v>
      </c>
    </row>
    <row r="167" spans="1:5" x14ac:dyDescent="0.2">
      <c r="A167" s="3">
        <v>10001154</v>
      </c>
      <c r="B167" s="3" t="s">
        <v>170</v>
      </c>
      <c r="C167" s="4">
        <f>PRODUCT($D$167:$E$167)</f>
        <v>918</v>
      </c>
      <c r="D167" s="3">
        <v>9</v>
      </c>
      <c r="E167" s="4">
        <v>102</v>
      </c>
    </row>
    <row r="168" spans="1:5" x14ac:dyDescent="0.2">
      <c r="A168" s="3">
        <v>11400692</v>
      </c>
      <c r="B168" s="3" t="s">
        <v>171</v>
      </c>
      <c r="C168" s="4">
        <f>PRODUCT($D$168:$E$168)</f>
        <v>349</v>
      </c>
      <c r="D168" s="3">
        <v>4</v>
      </c>
      <c r="E168" s="4">
        <v>87.25</v>
      </c>
    </row>
    <row r="169" spans="1:5" x14ac:dyDescent="0.2">
      <c r="A169" s="3">
        <v>11501649</v>
      </c>
      <c r="B169" s="3" t="s">
        <v>172</v>
      </c>
      <c r="C169" s="4">
        <f>PRODUCT($D$169:$E$169)</f>
        <v>344.09999999999997</v>
      </c>
      <c r="D169" s="3">
        <v>31</v>
      </c>
      <c r="E169" s="4">
        <v>11.1</v>
      </c>
    </row>
    <row r="170" spans="1:5" x14ac:dyDescent="0.2">
      <c r="A170" s="3">
        <v>17006266</v>
      </c>
      <c r="B170" s="3" t="s">
        <v>173</v>
      </c>
      <c r="C170" s="4">
        <f>PRODUCT($D$170:$E$170)</f>
        <v>399</v>
      </c>
      <c r="D170" s="3">
        <v>19</v>
      </c>
      <c r="E170" s="4">
        <v>21</v>
      </c>
    </row>
    <row r="171" spans="1:5" x14ac:dyDescent="0.2">
      <c r="A171" s="3">
        <v>11604531</v>
      </c>
      <c r="B171" s="3" t="s">
        <v>174</v>
      </c>
      <c r="C171" s="4">
        <f>PRODUCT($D$171:$E$171)</f>
        <v>34</v>
      </c>
      <c r="D171" s="3">
        <v>1</v>
      </c>
      <c r="E171" s="4">
        <v>34</v>
      </c>
    </row>
    <row r="172" spans="1:5" x14ac:dyDescent="0.2">
      <c r="A172" s="3">
        <v>11501694</v>
      </c>
      <c r="B172" s="3" t="s">
        <v>175</v>
      </c>
      <c r="C172" s="4">
        <f>PRODUCT($D$172:$E$172)</f>
        <v>975</v>
      </c>
      <c r="D172" s="3">
        <v>20</v>
      </c>
      <c r="E172" s="4">
        <v>48.75</v>
      </c>
    </row>
    <row r="173" spans="1:5" x14ac:dyDescent="0.2">
      <c r="A173" s="3">
        <v>11403820</v>
      </c>
      <c r="B173" s="3" t="s">
        <v>176</v>
      </c>
      <c r="C173" s="4">
        <f>PRODUCT($D$173:$E$173)</f>
        <v>756.99</v>
      </c>
      <c r="D173" s="3">
        <v>9</v>
      </c>
      <c r="E173" s="4">
        <v>84.11</v>
      </c>
    </row>
    <row r="174" spans="1:5" x14ac:dyDescent="0.2">
      <c r="A174" s="3">
        <v>11400675</v>
      </c>
      <c r="B174" s="3" t="s">
        <v>177</v>
      </c>
      <c r="C174" s="4">
        <f>PRODUCT($D$174:$E$174)</f>
        <v>770.96</v>
      </c>
      <c r="D174" s="3">
        <v>23</v>
      </c>
      <c r="E174" s="4">
        <v>33.520000000000003</v>
      </c>
    </row>
    <row r="175" spans="1:5" x14ac:dyDescent="0.2">
      <c r="A175" s="3">
        <v>11401486</v>
      </c>
      <c r="B175" s="3" t="s">
        <v>178</v>
      </c>
      <c r="C175" s="4">
        <f>PRODUCT($D$175:$E$175)</f>
        <v>456.03000000000003</v>
      </c>
      <c r="D175" s="3">
        <v>9</v>
      </c>
      <c r="E175" s="4">
        <v>50.67</v>
      </c>
    </row>
    <row r="176" spans="1:5" x14ac:dyDescent="0.2">
      <c r="A176" s="3">
        <v>17001257</v>
      </c>
      <c r="B176" s="3" t="s">
        <v>179</v>
      </c>
      <c r="C176" s="4">
        <f>PRODUCT($D$176:$E$176)</f>
        <v>415.94</v>
      </c>
      <c r="D176" s="3">
        <v>14</v>
      </c>
      <c r="E176" s="4">
        <v>29.71</v>
      </c>
    </row>
    <row r="177" spans="1:5" x14ac:dyDescent="0.2">
      <c r="A177" s="3">
        <v>17002899</v>
      </c>
      <c r="B177" s="3" t="s">
        <v>180</v>
      </c>
      <c r="C177" s="4">
        <f>PRODUCT($D$177:$E$177)</f>
        <v>945</v>
      </c>
      <c r="D177" s="3">
        <v>10</v>
      </c>
      <c r="E177" s="4">
        <v>94.5</v>
      </c>
    </row>
    <row r="178" spans="1:5" x14ac:dyDescent="0.2">
      <c r="A178" s="3">
        <v>11311990</v>
      </c>
      <c r="B178" s="3" t="s">
        <v>181</v>
      </c>
      <c r="C178" s="4">
        <f>PRODUCT($D$178:$E$178)</f>
        <v>545</v>
      </c>
      <c r="D178" s="3">
        <v>10</v>
      </c>
      <c r="E178" s="4">
        <v>54.5</v>
      </c>
    </row>
    <row r="179" spans="1:5" x14ac:dyDescent="0.2">
      <c r="A179" s="3">
        <v>11302926</v>
      </c>
      <c r="B179" s="3" t="s">
        <v>182</v>
      </c>
      <c r="C179" s="4">
        <f>PRODUCT($D$179:$E$179)</f>
        <v>178.02</v>
      </c>
      <c r="D179" s="3">
        <v>18</v>
      </c>
      <c r="E179" s="4">
        <v>9.89</v>
      </c>
    </row>
    <row r="180" spans="1:5" x14ac:dyDescent="0.2">
      <c r="A180" s="3">
        <v>11500265</v>
      </c>
      <c r="B180" s="3" t="s">
        <v>183</v>
      </c>
      <c r="C180" s="4">
        <f>PRODUCT($D$180:$E$180)</f>
        <v>991.05</v>
      </c>
      <c r="D180" s="3">
        <v>15</v>
      </c>
      <c r="E180" s="4">
        <v>66.069999999999993</v>
      </c>
    </row>
    <row r="181" spans="1:5" x14ac:dyDescent="0.2">
      <c r="A181" s="3">
        <v>17300240</v>
      </c>
      <c r="B181" s="3" t="s">
        <v>184</v>
      </c>
      <c r="C181" s="4">
        <f>PRODUCT($D$181:$E$181)</f>
        <v>455</v>
      </c>
      <c r="D181" s="3">
        <v>35</v>
      </c>
      <c r="E181" s="4">
        <v>13</v>
      </c>
    </row>
    <row r="182" spans="1:5" x14ac:dyDescent="0.2">
      <c r="A182" s="3">
        <v>10018755</v>
      </c>
      <c r="B182" s="3" t="s">
        <v>185</v>
      </c>
      <c r="C182" s="4">
        <f>PRODUCT($D$182:$E$182)</f>
        <v>695.97</v>
      </c>
      <c r="D182" s="3">
        <v>11</v>
      </c>
      <c r="E182" s="4">
        <v>63.27</v>
      </c>
    </row>
    <row r="183" spans="1:5" x14ac:dyDescent="0.2">
      <c r="A183" s="3">
        <v>11601271</v>
      </c>
      <c r="B183" s="3" t="s">
        <v>186</v>
      </c>
      <c r="C183" s="4">
        <f>PRODUCT($D$183:$E$183)</f>
        <v>385</v>
      </c>
      <c r="D183" s="3">
        <v>5</v>
      </c>
      <c r="E183" s="4">
        <v>77</v>
      </c>
    </row>
    <row r="184" spans="1:5" x14ac:dyDescent="0.2">
      <c r="A184" s="3">
        <v>11404866</v>
      </c>
      <c r="B184" s="3" t="s">
        <v>187</v>
      </c>
      <c r="C184" s="4">
        <f>PRODUCT($D$184:$E$184)</f>
        <v>914.09</v>
      </c>
      <c r="D184" s="3">
        <v>19</v>
      </c>
      <c r="E184" s="4">
        <v>48.11</v>
      </c>
    </row>
    <row r="185" spans="1:5" x14ac:dyDescent="0.2">
      <c r="A185" s="3">
        <v>11603465</v>
      </c>
      <c r="B185" s="3" t="s">
        <v>188</v>
      </c>
      <c r="C185" s="4">
        <f>PRODUCT($D$185:$E$185)</f>
        <v>210.99</v>
      </c>
      <c r="D185" s="3">
        <v>3</v>
      </c>
      <c r="E185" s="4">
        <v>70.33</v>
      </c>
    </row>
    <row r="186" spans="1:5" x14ac:dyDescent="0.2">
      <c r="A186" s="3">
        <v>17005561</v>
      </c>
      <c r="B186" s="3" t="s">
        <v>189</v>
      </c>
      <c r="C186" s="4">
        <f>PRODUCT($D$186:$E$186)</f>
        <v>202.98</v>
      </c>
      <c r="D186" s="3">
        <v>6</v>
      </c>
      <c r="E186" s="4">
        <v>33.83</v>
      </c>
    </row>
    <row r="187" spans="1:5" x14ac:dyDescent="0.2">
      <c r="A187" s="3">
        <v>11604313</v>
      </c>
      <c r="B187" s="3" t="s">
        <v>190</v>
      </c>
      <c r="C187" s="4">
        <f>PRODUCT($D$187:$E$187)</f>
        <v>218.01</v>
      </c>
      <c r="D187" s="3">
        <v>3</v>
      </c>
      <c r="E187" s="4">
        <v>72.67</v>
      </c>
    </row>
    <row r="188" spans="1:5" x14ac:dyDescent="0.2">
      <c r="A188" s="3">
        <v>11303708</v>
      </c>
      <c r="B188" s="3" t="s">
        <v>191</v>
      </c>
      <c r="C188" s="4">
        <f>PRODUCT($D$188:$E$188)</f>
        <v>308.98</v>
      </c>
      <c r="D188" s="3">
        <v>7</v>
      </c>
      <c r="E188" s="4">
        <v>44.14</v>
      </c>
    </row>
    <row r="189" spans="1:5" x14ac:dyDescent="0.2">
      <c r="A189" s="3">
        <v>10017864</v>
      </c>
      <c r="B189" s="3" t="s">
        <v>192</v>
      </c>
      <c r="C189" s="4">
        <f>PRODUCT($D$189:$E$189)</f>
        <v>178</v>
      </c>
      <c r="D189" s="3">
        <v>2</v>
      </c>
      <c r="E189" s="4">
        <v>89</v>
      </c>
    </row>
    <row r="190" spans="1:5" x14ac:dyDescent="0.2">
      <c r="A190" s="3">
        <v>17004638</v>
      </c>
      <c r="B190" s="3" t="s">
        <v>193</v>
      </c>
      <c r="C190" s="4">
        <f>PRODUCT($D$190:$E$190)</f>
        <v>408</v>
      </c>
      <c r="D190" s="3">
        <v>10</v>
      </c>
      <c r="E190" s="4">
        <v>40.799999999999997</v>
      </c>
    </row>
    <row r="191" spans="1:5" x14ac:dyDescent="0.2">
      <c r="A191" s="3">
        <v>11400528</v>
      </c>
      <c r="B191" s="3" t="s">
        <v>194</v>
      </c>
      <c r="C191" s="4">
        <f>PRODUCT($D$191:$E$191)</f>
        <v>685.86</v>
      </c>
      <c r="D191" s="3">
        <v>69</v>
      </c>
      <c r="E191" s="4">
        <v>9.94</v>
      </c>
    </row>
    <row r="192" spans="1:5" x14ac:dyDescent="0.2">
      <c r="A192" s="3">
        <v>14212513</v>
      </c>
      <c r="B192" s="3" t="s">
        <v>195</v>
      </c>
      <c r="C192" s="3">
        <f>PRODUCT($D$192:$E$192)</f>
        <v>36000</v>
      </c>
      <c r="D192" s="3">
        <v>90</v>
      </c>
      <c r="E192" s="4">
        <v>400</v>
      </c>
    </row>
    <row r="193" spans="1:5" x14ac:dyDescent="0.2">
      <c r="A193" s="3">
        <v>17219154</v>
      </c>
      <c r="B193" s="3" t="s">
        <v>196</v>
      </c>
      <c r="C193" s="3">
        <f>PRODUCT($D$193:$E$193)</f>
        <v>224000</v>
      </c>
      <c r="D193" s="3">
        <v>320</v>
      </c>
      <c r="E193" s="4">
        <v>700</v>
      </c>
    </row>
    <row r="194" spans="1:5" x14ac:dyDescent="0.2">
      <c r="A194" s="3">
        <v>14011747</v>
      </c>
      <c r="B194" s="3" t="s">
        <v>197</v>
      </c>
      <c r="C194" s="3">
        <f>PRODUCT($D$194:$E$194)</f>
        <v>25024</v>
      </c>
      <c r="D194" s="3">
        <v>92</v>
      </c>
      <c r="E194" s="4">
        <v>272</v>
      </c>
    </row>
    <row r="195" spans="1:5" x14ac:dyDescent="0.2">
      <c r="A195" s="3">
        <v>10025555</v>
      </c>
      <c r="B195" s="3" t="s">
        <v>198</v>
      </c>
      <c r="C195" s="3">
        <f>PRODUCT($D$195:$E$195)</f>
        <v>174408</v>
      </c>
      <c r="D195" s="3">
        <v>312</v>
      </c>
      <c r="E195" s="4">
        <v>559</v>
      </c>
    </row>
    <row r="196" spans="1:5" x14ac:dyDescent="0.2">
      <c r="A196" s="3">
        <v>11614856</v>
      </c>
      <c r="B196" s="3" t="s">
        <v>199</v>
      </c>
      <c r="C196" s="3">
        <f>PRODUCT($D$196:$E$196)</f>
        <v>492</v>
      </c>
      <c r="D196" s="3">
        <v>492</v>
      </c>
      <c r="E196" s="4">
        <v>1</v>
      </c>
    </row>
    <row r="197" spans="1:5" x14ac:dyDescent="0.2">
      <c r="A197" s="3">
        <v>11323073</v>
      </c>
      <c r="B197" s="3" t="s">
        <v>200</v>
      </c>
      <c r="C197" s="3">
        <f>PRODUCT($D$197:$E$197)</f>
        <v>570000</v>
      </c>
      <c r="D197" s="3">
        <v>380</v>
      </c>
      <c r="E197" s="4">
        <v>1500</v>
      </c>
    </row>
    <row r="198" spans="1:5" x14ac:dyDescent="0.2">
      <c r="A198" s="3">
        <v>10029740</v>
      </c>
      <c r="B198" s="3" t="s">
        <v>201</v>
      </c>
      <c r="C198" s="3">
        <f>PRODUCT($D$198:$E$198)</f>
        <v>33120</v>
      </c>
      <c r="D198" s="3">
        <v>60</v>
      </c>
      <c r="E198" s="4">
        <v>552</v>
      </c>
    </row>
    <row r="199" spans="1:5" x14ac:dyDescent="0.2">
      <c r="A199" s="3">
        <v>10020679</v>
      </c>
      <c r="B199" s="3" t="s">
        <v>202</v>
      </c>
      <c r="C199" s="3">
        <f>PRODUCT($D$199:$E$199)</f>
        <v>10800</v>
      </c>
      <c r="D199" s="3">
        <v>75</v>
      </c>
      <c r="E199" s="4">
        <v>144</v>
      </c>
    </row>
    <row r="200" spans="1:5" x14ac:dyDescent="0.2">
      <c r="A200" s="3">
        <v>11212553</v>
      </c>
      <c r="B200" s="3" t="s">
        <v>203</v>
      </c>
      <c r="C200" s="3">
        <f>PRODUCT($D$200:$E$200)</f>
        <v>2</v>
      </c>
      <c r="D200" s="3">
        <v>2</v>
      </c>
      <c r="E200" s="4">
        <v>1</v>
      </c>
    </row>
    <row r="201" spans="1:5" x14ac:dyDescent="0.2">
      <c r="A201" s="3">
        <v>11017288</v>
      </c>
      <c r="B201" s="3" t="s">
        <v>204</v>
      </c>
      <c r="C201" s="3">
        <f>PRODUCT($D$201:$E$201)</f>
        <v>162680</v>
      </c>
      <c r="D201" s="3">
        <v>415</v>
      </c>
      <c r="E201" s="4">
        <v>392</v>
      </c>
    </row>
    <row r="202" spans="1:5" x14ac:dyDescent="0.2">
      <c r="A202" s="3">
        <v>11323214</v>
      </c>
      <c r="B202" s="3" t="s">
        <v>205</v>
      </c>
      <c r="C202" s="3">
        <f>PRODUCT($D$202:$E$202)</f>
        <v>595000</v>
      </c>
      <c r="D202" s="3">
        <v>85</v>
      </c>
      <c r="E202" s="4">
        <v>7000</v>
      </c>
    </row>
    <row r="203" spans="1:5" x14ac:dyDescent="0.2">
      <c r="A203" s="3">
        <v>10027457</v>
      </c>
      <c r="B203" s="3" t="s">
        <v>206</v>
      </c>
      <c r="C203" s="3">
        <f>PRODUCT($D$203:$E$203)</f>
        <v>88800</v>
      </c>
      <c r="D203" s="3">
        <v>296</v>
      </c>
      <c r="E203" s="4">
        <v>300</v>
      </c>
    </row>
    <row r="204" spans="1:5" x14ac:dyDescent="0.2">
      <c r="A204" s="3">
        <v>14112092</v>
      </c>
      <c r="B204" s="3" t="s">
        <v>207</v>
      </c>
      <c r="C204" s="3">
        <f>PRODUCT($D$204:$E$204)</f>
        <v>16800</v>
      </c>
      <c r="D204" s="3">
        <v>175</v>
      </c>
      <c r="E204" s="4">
        <v>96</v>
      </c>
    </row>
    <row r="205" spans="1:5" x14ac:dyDescent="0.2">
      <c r="A205" s="3">
        <v>14211216</v>
      </c>
      <c r="B205" s="3" t="s">
        <v>208</v>
      </c>
      <c r="C205" s="3">
        <f>PRODUCT($D$205:$E$205)</f>
        <v>108000</v>
      </c>
      <c r="D205" s="3">
        <v>36</v>
      </c>
      <c r="E205" s="4">
        <v>3000</v>
      </c>
    </row>
    <row r="206" spans="1:5" x14ac:dyDescent="0.2">
      <c r="A206" s="3">
        <v>10027654</v>
      </c>
      <c r="B206" s="3" t="s">
        <v>209</v>
      </c>
      <c r="C206" s="3">
        <f>PRODUCT($D$206:$E$206)</f>
        <v>600</v>
      </c>
      <c r="D206" s="3">
        <v>50</v>
      </c>
      <c r="E206" s="4">
        <v>12</v>
      </c>
    </row>
    <row r="207" spans="1:5" x14ac:dyDescent="0.2">
      <c r="A207" s="3">
        <v>17012705</v>
      </c>
      <c r="B207" s="3" t="s">
        <v>210</v>
      </c>
      <c r="C207" s="3">
        <f>PRODUCT($D$207:$E$207)</f>
        <v>63</v>
      </c>
      <c r="D207" s="3">
        <v>63</v>
      </c>
      <c r="E207" s="4">
        <v>1</v>
      </c>
    </row>
    <row r="208" spans="1:5" x14ac:dyDescent="0.2">
      <c r="A208" s="3">
        <v>11512443</v>
      </c>
      <c r="B208" s="3" t="s">
        <v>211</v>
      </c>
      <c r="C208" s="3">
        <f>PRODUCT($D$208:$E$208)</f>
        <v>4192</v>
      </c>
      <c r="D208" s="3">
        <v>209.6</v>
      </c>
      <c r="E208" s="4">
        <v>20</v>
      </c>
    </row>
    <row r="209" spans="1:7" x14ac:dyDescent="0.2">
      <c r="A209" s="3">
        <v>14211322</v>
      </c>
      <c r="B209" s="3" t="s">
        <v>212</v>
      </c>
      <c r="C209" s="3">
        <f>PRODUCT($D$209:$E$209)</f>
        <v>6800</v>
      </c>
      <c r="D209" s="3">
        <v>68</v>
      </c>
      <c r="E209" s="4">
        <v>100</v>
      </c>
    </row>
    <row r="210" spans="1:7" x14ac:dyDescent="0.2">
      <c r="A210" s="3">
        <v>14211620</v>
      </c>
      <c r="B210" s="3" t="s">
        <v>213</v>
      </c>
      <c r="C210" s="3">
        <f>PRODUCT($D$210:$E$210)</f>
        <v>34598.400000000001</v>
      </c>
      <c r="D210" s="3">
        <v>63.6</v>
      </c>
      <c r="E210" s="4">
        <v>544</v>
      </c>
    </row>
    <row r="211" spans="1:7" x14ac:dyDescent="0.2">
      <c r="A211" s="3">
        <v>10027104</v>
      </c>
      <c r="B211" s="3" t="s">
        <v>214</v>
      </c>
      <c r="C211" s="3">
        <f>PRODUCT($D$211:$E$211)</f>
        <v>253200</v>
      </c>
      <c r="D211" s="3">
        <v>300</v>
      </c>
      <c r="E211" s="4">
        <v>844</v>
      </c>
    </row>
    <row r="212" spans="1:7" x14ac:dyDescent="0.2">
      <c r="A212" s="3">
        <v>14212800</v>
      </c>
      <c r="B212" s="3" t="s">
        <v>215</v>
      </c>
      <c r="C212" s="3">
        <f>PRODUCT($D$212:$E$212)</f>
        <v>49920</v>
      </c>
      <c r="D212" s="3">
        <v>120</v>
      </c>
      <c r="E212" s="4">
        <v>416</v>
      </c>
    </row>
    <row r="213" spans="1:7" x14ac:dyDescent="0.2">
      <c r="A213" s="3">
        <v>14213602</v>
      </c>
      <c r="B213" s="3" t="s">
        <v>216</v>
      </c>
      <c r="C213" s="3">
        <f>PRODUCT($D$213:$E$213)</f>
        <v>203870</v>
      </c>
      <c r="D213" s="3">
        <v>290</v>
      </c>
      <c r="E213" s="4">
        <v>703</v>
      </c>
    </row>
    <row r="214" spans="1:7" x14ac:dyDescent="0.2">
      <c r="A214" s="3">
        <v>17012698</v>
      </c>
      <c r="B214" s="3" t="s">
        <v>217</v>
      </c>
      <c r="C214" s="3">
        <f>PRODUCT($D$214:$E$214)</f>
        <v>76850</v>
      </c>
      <c r="D214" s="3">
        <v>530</v>
      </c>
      <c r="E214" s="4">
        <v>145</v>
      </c>
    </row>
    <row r="215" spans="1:7" x14ac:dyDescent="0.2">
      <c r="A215" s="3">
        <v>11512733</v>
      </c>
      <c r="B215" s="3" t="s">
        <v>218</v>
      </c>
      <c r="C215" s="3">
        <f>PRODUCT($D$215:$E$215)</f>
        <v>473472</v>
      </c>
      <c r="D215" s="3">
        <v>288</v>
      </c>
      <c r="E215" s="4">
        <v>1644</v>
      </c>
    </row>
    <row r="216" spans="1:7" x14ac:dyDescent="0.2">
      <c r="A216" s="3">
        <v>14211413</v>
      </c>
      <c r="B216" s="3" t="s">
        <v>219</v>
      </c>
      <c r="C216" s="3">
        <f>PRODUCT($D$216:$E$216)</f>
        <v>233856</v>
      </c>
      <c r="D216" s="3">
        <v>336</v>
      </c>
      <c r="E216" s="4">
        <v>696</v>
      </c>
    </row>
    <row r="217" spans="1:7" x14ac:dyDescent="0.2">
      <c r="A217" s="3">
        <v>14212845</v>
      </c>
      <c r="B217" s="3" t="s">
        <v>220</v>
      </c>
      <c r="C217" s="3">
        <f>PRODUCT($D$217:$E$217)</f>
        <v>34560</v>
      </c>
      <c r="D217" s="3">
        <v>120</v>
      </c>
      <c r="E217" s="4">
        <v>288</v>
      </c>
    </row>
    <row r="218" spans="1:7" x14ac:dyDescent="0.2">
      <c r="A218" s="3">
        <v>17012153</v>
      </c>
      <c r="B218" s="3" t="s">
        <v>221</v>
      </c>
      <c r="C218" s="3">
        <f>PRODUCT($D$218:$E$218)</f>
        <v>5000</v>
      </c>
      <c r="D218" s="3">
        <v>500</v>
      </c>
      <c r="E218" s="4">
        <v>10</v>
      </c>
    </row>
    <row r="219" spans="1:7" x14ac:dyDescent="0.2">
      <c r="A219" s="3">
        <v>11304869</v>
      </c>
      <c r="B219" s="3" t="s">
        <v>222</v>
      </c>
      <c r="C219" s="3">
        <f>PRODUCT($D$219:$E$219)</f>
        <v>375.98</v>
      </c>
      <c r="D219" s="3">
        <v>11</v>
      </c>
      <c r="E219" s="4">
        <v>34.18</v>
      </c>
    </row>
    <row r="220" spans="1:7" x14ac:dyDescent="0.2">
      <c r="A220" s="3">
        <v>11501853</v>
      </c>
      <c r="B220" s="3" t="s">
        <v>223</v>
      </c>
      <c r="C220" s="3">
        <f>PRODUCT($D$220:$E$220)</f>
        <v>238.02</v>
      </c>
      <c r="D220" s="3">
        <v>6</v>
      </c>
      <c r="E220" s="4">
        <v>39.67</v>
      </c>
    </row>
    <row r="221" spans="1:7" x14ac:dyDescent="0.2">
      <c r="A221" s="3">
        <v>10017745</v>
      </c>
      <c r="B221" s="3" t="s">
        <v>224</v>
      </c>
      <c r="C221" s="3">
        <f>PRODUCT($D$221:$E$221)</f>
        <v>462</v>
      </c>
      <c r="D221" s="3">
        <v>154</v>
      </c>
      <c r="E221" s="4">
        <v>3</v>
      </c>
    </row>
    <row r="222" spans="1:7" x14ac:dyDescent="0.2">
      <c r="A222" s="3">
        <v>11312146</v>
      </c>
      <c r="B222" s="3" t="s">
        <v>225</v>
      </c>
      <c r="C222" s="3">
        <f>PRODUCT($D$222:$E$222)</f>
        <v>772.11</v>
      </c>
      <c r="D222" s="3">
        <v>23</v>
      </c>
      <c r="E222" s="4">
        <v>33.57</v>
      </c>
    </row>
    <row r="223" spans="1:7" x14ac:dyDescent="0.2">
      <c r="A223" s="3">
        <v>17005641</v>
      </c>
      <c r="B223" s="3" t="s">
        <v>226</v>
      </c>
      <c r="C223" s="3">
        <f>PRODUCT($D$223:$E$223)</f>
        <v>405.99</v>
      </c>
      <c r="D223" s="3">
        <v>3</v>
      </c>
      <c r="E223" s="4">
        <v>135.33000000000001</v>
      </c>
      <c r="G223" s="2" t="s">
        <v>228</v>
      </c>
    </row>
    <row r="224" spans="1:7" x14ac:dyDescent="0.2">
      <c r="A224" s="3">
        <v>11310139</v>
      </c>
      <c r="B224" s="3" t="s">
        <v>227</v>
      </c>
      <c r="C224" s="3">
        <f>PRODUCT($D$224:$E$224)</f>
        <v>154</v>
      </c>
      <c r="D224" s="3">
        <v>5</v>
      </c>
      <c r="E224" s="4">
        <v>30.8</v>
      </c>
    </row>
    <row r="230" spans="5:5" x14ac:dyDescent="0.2">
      <c r="E230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Pablo Medina</dc:creator>
  <cp:lastModifiedBy>Heriberto Espino Montelongo</cp:lastModifiedBy>
  <dcterms:created xsi:type="dcterms:W3CDTF">2020-04-21T21:51:27Z</dcterms:created>
  <dcterms:modified xsi:type="dcterms:W3CDTF">2022-10-24T20:33:44Z</dcterms:modified>
</cp:coreProperties>
</file>