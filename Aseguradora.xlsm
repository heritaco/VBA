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E:\HERIBERTO\Documents\Heri\.UDLAP\.UDLAP\3\progra\Nueva carpeta\"/>
    </mc:Choice>
  </mc:AlternateContent>
  <xr:revisionPtr revIDLastSave="0" documentId="8_{886C5CA9-BDCA-4BFB-8590-055DB6147A39}" xr6:coauthVersionLast="47" xr6:coauthVersionMax="47" xr10:uidLastSave="{00000000-0000-0000-0000-000000000000}"/>
  <bookViews>
    <workbookView xWindow="-120" yWindow="-120" windowWidth="24240" windowHeight="13740" activeTab="2" xr2:uid="{00000000-000D-0000-FFFF-FFFF00000000}"/>
  </bookViews>
  <sheets>
    <sheet name="Temp" sheetId="1" r:id="rId1"/>
    <sheet name="GoalSeek" sheetId="3" r:id="rId2"/>
    <sheet name="Solver" sheetId="4" r:id="rId3"/>
    <sheet name="Informe Solver" sheetId="5" r:id="rId4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solver_adj" localSheetId="2" hidden="1">Solver!$D$16:$D$26</definedName>
    <definedName name="solver_cvg" localSheetId="2" hidden="1">0.0001</definedName>
    <definedName name="solver_drv" localSheetId="2" hidden="1">1</definedName>
    <definedName name="solver_eng" localSheetId="2" hidden="1">1</definedName>
    <definedName name="solver_est" localSheetId="2" hidden="1">1</definedName>
    <definedName name="solver_itr" localSheetId="2" hidden="1">2147483647</definedName>
    <definedName name="solver_lhs1" localSheetId="2" hidden="1">Solver!$D$16</definedName>
    <definedName name="solver_lhs2" localSheetId="2" hidden="1">Solver!$D$16:$D$26</definedName>
    <definedName name="solver_lhs3" localSheetId="2" hidden="1">Solver!$D$17</definedName>
    <definedName name="solver_lhs4" localSheetId="2" hidden="1">Solver!$D$18</definedName>
    <definedName name="solver_lhs5" localSheetId="2" hidden="1">Solver!$D$19</definedName>
    <definedName name="solver_lhs6" localSheetId="2" hidden="1">Solver!$D$20</definedName>
    <definedName name="solver_lhs7" localSheetId="2" hidden="1">Solver!$D$21</definedName>
    <definedName name="solver_lhs8" localSheetId="2" hidden="1">Solver!$D$25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1</definedName>
    <definedName name="solver_nod" localSheetId="2" hidden="1">2147483647</definedName>
    <definedName name="solver_num" localSheetId="2" hidden="1">8</definedName>
    <definedName name="solver_nwt" localSheetId="2" hidden="1">1</definedName>
    <definedName name="solver_opt" localSheetId="2" hidden="1">Solver!$H$27</definedName>
    <definedName name="solver_pre" localSheetId="2" hidden="1">0.000001</definedName>
    <definedName name="solver_rbv" localSheetId="2" hidden="1">1</definedName>
    <definedName name="solver_rel1" localSheetId="2" hidden="1">2</definedName>
    <definedName name="solver_rel2" localSheetId="2" hidden="1">4</definedName>
    <definedName name="solver_rel3" localSheetId="2" hidden="1">3</definedName>
    <definedName name="solver_rel4" localSheetId="2" hidden="1">2</definedName>
    <definedName name="solver_rel5" localSheetId="2" hidden="1">3</definedName>
    <definedName name="solver_rel6" localSheetId="2" hidden="1">2</definedName>
    <definedName name="solver_rel7" localSheetId="2" hidden="1">3</definedName>
    <definedName name="solver_rel8" localSheetId="2" hidden="1">2</definedName>
    <definedName name="solver_rhs1" localSheetId="2" hidden="1">1</definedName>
    <definedName name="solver_rhs2" localSheetId="2" hidden="1">"entero"</definedName>
    <definedName name="solver_rhs3" localSheetId="2" hidden="1">6</definedName>
    <definedName name="solver_rhs4" localSheetId="2" hidden="1">1</definedName>
    <definedName name="solver_rhs5" localSheetId="2" hidden="1">4</definedName>
    <definedName name="solver_rhs6" localSheetId="2" hidden="1">1</definedName>
    <definedName name="solver_rhs7" localSheetId="2" hidden="1">5</definedName>
    <definedName name="solver_rhs8" localSheetId="2" hidden="1">1</definedName>
    <definedName name="solver_rlx" localSheetId="2" hidden="1">2</definedName>
    <definedName name="solver_rsd" localSheetId="2" hidden="1">0</definedName>
    <definedName name="solver_scl" localSheetId="2" hidden="1">1</definedName>
    <definedName name="solver_sho" localSheetId="2" hidden="1">2</definedName>
    <definedName name="solver_ssz" localSheetId="2" hidden="1">100</definedName>
    <definedName name="solver_tim" localSheetId="2" hidden="1">2147483647</definedName>
    <definedName name="solver_tol" localSheetId="2" hidden="1">0.01</definedName>
    <definedName name="solver_typ" localSheetId="2" hidden="1">3</definedName>
    <definedName name="solver_val" localSheetId="2" hidden="1">800000</definedName>
    <definedName name="solver_ver" localSheetId="2" hidden="1">3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7" i="4" l="1"/>
  <c r="H18" i="4"/>
  <c r="H19" i="4"/>
  <c r="H20" i="4"/>
  <c r="H21" i="4"/>
  <c r="H22" i="4"/>
  <c r="H23" i="4"/>
  <c r="H24" i="4"/>
  <c r="H25" i="4"/>
  <c r="H26" i="4"/>
  <c r="H16" i="4"/>
  <c r="H27" i="4" l="1"/>
  <c r="G15" i="3"/>
  <c r="C15" i="3"/>
</calcChain>
</file>

<file path=xl/sharedStrings.xml><?xml version="1.0" encoding="utf-8"?>
<sst xmlns="http://schemas.openxmlformats.org/spreadsheetml/2006/main" count="137" uniqueCount="91">
  <si>
    <t>Nombre</t>
  </si>
  <si>
    <t>Apellido Paterno</t>
  </si>
  <si>
    <t>Apellido Materno</t>
  </si>
  <si>
    <t>ID</t>
  </si>
  <si>
    <t>Heriberto</t>
  </si>
  <si>
    <t>Espino</t>
  </si>
  <si>
    <t>Montelongo</t>
  </si>
  <si>
    <t xml:space="preserve">Sergio </t>
  </si>
  <si>
    <t>Lopez</t>
  </si>
  <si>
    <t>Flores</t>
  </si>
  <si>
    <t>Prima Total</t>
  </si>
  <si>
    <t>Siniestros</t>
  </si>
  <si>
    <t>Impuestos</t>
  </si>
  <si>
    <t>Salario del Personal</t>
  </si>
  <si>
    <t>PRIMA NETA</t>
  </si>
  <si>
    <t>Durante el 2022 se obtuvieron $76,168,200 pesos de Prima Neta. Para el 2023 se estima que subiran los siniestros y los gastos de administración. El dueño de la compañía desea incrementar su prima neta un 20% respecto al 2022, entonces necesita saber cuanto tiene que generar la aseguradora en Prima Total para conseguir su meta.</t>
  </si>
  <si>
    <t>PRESUPUESTO MENSUAL</t>
  </si>
  <si>
    <t>Puesto</t>
  </si>
  <si>
    <t>Cantidad de Personas</t>
  </si>
  <si>
    <t>Total</t>
  </si>
  <si>
    <t>Gerente Siniestros</t>
  </si>
  <si>
    <t>Auxiliar en Siniestros</t>
  </si>
  <si>
    <t>Gerente Facturación</t>
  </si>
  <si>
    <t>Auxiliar en Facturación</t>
  </si>
  <si>
    <t>Gerente Cot. Y Em.</t>
  </si>
  <si>
    <t>Auxiliar Cot. Y Em.</t>
  </si>
  <si>
    <t>Mensajería</t>
  </si>
  <si>
    <t>Servicios Generales</t>
  </si>
  <si>
    <t>Coordinador de Calidad</t>
  </si>
  <si>
    <t>Gerente Administrativo</t>
  </si>
  <si>
    <t>Auxiliar Administrativo</t>
  </si>
  <si>
    <t>Se va a abrir una nueva sucursal de la compañía en el estado de Jalisco. Para ello se realizara una contratación de personal. Los directivos solicitaron que haya 1 gerente en cada área. Ádemas de los cordinadores debe haber mínimo 6 personas en área de siniestros, 4 en el área de facturación y 5 en el área de cotización y emisión. El resto del personal que se contratará se deberá ajustar al tope de presupuesto impuesto por el dueño.</t>
  </si>
  <si>
    <t>Microsoft Excel 16.0 Informe de respuestas</t>
  </si>
  <si>
    <t>Hoja de cálculo: [Aseguradora.xlsm]Solver</t>
  </si>
  <si>
    <t>Informe creado: 02/12/2022 10:34:46 a. m.</t>
  </si>
  <si>
    <t>Resultado: Solver encontró una solución. Se cumplen todas las restricciones y condiciones óptimas.</t>
  </si>
  <si>
    <t>Motor de Solver</t>
  </si>
  <si>
    <t>Motor: GRG Nonlinear</t>
  </si>
  <si>
    <t>Tiempo de la solución: 0.015 segundos.</t>
  </si>
  <si>
    <t>Iteraciones: 0 Subproblemas: 0</t>
  </si>
  <si>
    <t>Opciones de Solver</t>
  </si>
  <si>
    <t>Tiempo máximo Ilimitado,  Iteraciones Ilimitado, Precision 0.000001, Usar escala automática</t>
  </si>
  <si>
    <t xml:space="preserve"> Convergencia 0.0001, Tamaño de población 100, Valor de inicialización aleatorio 0, Adelantada de derivados, Requerir límites</t>
  </si>
  <si>
    <t>Máximo de subproblemas Ilimitado, Máximo de soluciones de enteros Ilimitado, Tolerancia de enteros 1%, Asumir no negativo</t>
  </si>
  <si>
    <t>Celda objetivo (Valor de)</t>
  </si>
  <si>
    <t>Celda</t>
  </si>
  <si>
    <t>Valor original</t>
  </si>
  <si>
    <t>Valor final</t>
  </si>
  <si>
    <t>Celdas de variables</t>
  </si>
  <si>
    <t>Entero</t>
  </si>
  <si>
    <t>Restricciones</t>
  </si>
  <si>
    <t>Valor de la celda</t>
  </si>
  <si>
    <t>Fórmula</t>
  </si>
  <si>
    <t>Estado</t>
  </si>
  <si>
    <t>Demora</t>
  </si>
  <si>
    <t>$H$27</t>
  </si>
  <si>
    <t>$D$16</t>
  </si>
  <si>
    <t>Gerente Siniestros Cantidad de Personas</t>
  </si>
  <si>
    <t>$D$17</t>
  </si>
  <si>
    <t>Auxiliar en Siniestros Cantidad de Personas</t>
  </si>
  <si>
    <t>$D$18</t>
  </si>
  <si>
    <t>Gerente Facturación Cantidad de Personas</t>
  </si>
  <si>
    <t>$D$19</t>
  </si>
  <si>
    <t>Auxiliar en Facturación Cantidad de Personas</t>
  </si>
  <si>
    <t>$D$20</t>
  </si>
  <si>
    <t>Gerente Cot. Y Em. Cantidad de Personas</t>
  </si>
  <si>
    <t>$D$21</t>
  </si>
  <si>
    <t>Auxiliar Cot. Y Em. Cantidad de Personas</t>
  </si>
  <si>
    <t>$D$22</t>
  </si>
  <si>
    <t>Mensajería Cantidad de Personas</t>
  </si>
  <si>
    <t>$D$23</t>
  </si>
  <si>
    <t>Servicios Generales Cantidad de Personas</t>
  </si>
  <si>
    <t>$D$24</t>
  </si>
  <si>
    <t>Coordinador de Calidad Cantidad de Personas</t>
  </si>
  <si>
    <t>$D$25</t>
  </si>
  <si>
    <t>Gerente Administrativo Cantidad de Personas</t>
  </si>
  <si>
    <t>$D$26</t>
  </si>
  <si>
    <t>Auxiliar Administrativo Cantidad de Personas</t>
  </si>
  <si>
    <t>$H$27=800000</t>
  </si>
  <si>
    <t>Vinculante</t>
  </si>
  <si>
    <t>$D$16=1</t>
  </si>
  <si>
    <t>$D$17&gt;=6</t>
  </si>
  <si>
    <t>No vinculante</t>
  </si>
  <si>
    <t>$D$18=1</t>
  </si>
  <si>
    <t>$D$19&gt;=4</t>
  </si>
  <si>
    <t>$D$20=1</t>
  </si>
  <si>
    <t>$D$21&gt;=5</t>
  </si>
  <si>
    <t>$D$25=1</t>
  </si>
  <si>
    <t>$D$16:$D$26=Entero</t>
  </si>
  <si>
    <t>$D$16:$D$26</t>
  </si>
  <si>
    <t>Salarío Mensual por Empledo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</si>
</sst>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4" formatCode="_-&quot;$&quot;* #,##0.00_-;\-&quot;$&quot;* #,##0.00_-;_-&quot;$&quot;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indexed="18"/>
      <name val="Calibri"/>
      <family val="2"/>
      <scheme val="minor"/>
    </font>
    <font>
      <b/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9FF"/>
        <bgColor indexed="64"/>
      </patternFill>
    </fill>
  </fills>
  <borders count="4">
    <border>
      <left/>
      <right/>
      <top/>
      <bottom/>
      <diagonal/>
    </border>
    <border>
      <left/>
      <right/>
      <top style="medium">
        <color indexed="23"/>
      </top>
      <bottom style="medium">
        <color indexed="23"/>
      </bottom>
      <diagonal/>
    </border>
    <border>
      <left/>
      <right/>
      <top style="thin">
        <color indexed="23"/>
      </top>
      <bottom style="medium">
        <color indexed="23"/>
      </bottom>
      <diagonal/>
    </border>
    <border>
      <left/>
      <right/>
      <top style="thin">
        <color indexed="23"/>
      </top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32">
    <xf numFmtId="0" fontId="0" fillId="0" borderId="0" xfId="0"/>
    <xf numFmtId="9" fontId="0" fillId="0" borderId="0" xfId="0" applyNumberFormat="1"/>
    <xf numFmtId="44" fontId="0" fillId="2" borderId="0" xfId="1" applyFont="1" applyFill="1"/>
    <xf numFmtId="0" fontId="0" fillId="0" borderId="0" xfId="0" applyAlignment="1">
      <alignment horizontal="right"/>
    </xf>
    <xf numFmtId="44" fontId="0" fillId="0" borderId="0" xfId="1" applyFont="1" applyFill="1" applyAlignment="1"/>
    <xf numFmtId="44" fontId="0" fillId="0" borderId="0" xfId="1" applyFont="1" applyAlignment="1"/>
    <xf numFmtId="44" fontId="0" fillId="0" borderId="0" xfId="0" applyNumberFormat="1"/>
    <xf numFmtId="44" fontId="0" fillId="0" borderId="0" xfId="1" applyFont="1" applyFill="1"/>
    <xf numFmtId="9" fontId="0" fillId="2" borderId="0" xfId="0" applyNumberFormat="1" applyFill="1"/>
    <xf numFmtId="44" fontId="5" fillId="0" borderId="0" xfId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9" fontId="5" fillId="0" borderId="0" xfId="0" applyNumberFormat="1" applyFont="1"/>
    <xf numFmtId="44" fontId="0" fillId="0" borderId="0" xfId="1" applyFont="1"/>
    <xf numFmtId="44" fontId="4" fillId="0" borderId="0" xfId="1" applyFont="1"/>
    <xf numFmtId="44" fontId="4" fillId="2" borderId="0" xfId="1" applyFont="1" applyFill="1" applyAlignment="1"/>
    <xf numFmtId="44" fontId="0" fillId="0" borderId="0" xfId="1" applyFont="1" applyAlignment="1">
      <alignment wrapText="1"/>
    </xf>
    <xf numFmtId="0" fontId="2" fillId="0" borderId="0" xfId="0" applyFont="1"/>
    <xf numFmtId="0" fontId="0" fillId="0" borderId="2" xfId="0" applyBorder="1"/>
    <xf numFmtId="0" fontId="6" fillId="0" borderId="1" xfId="0" applyFont="1" applyBorder="1" applyAlignment="1">
      <alignment horizontal="center"/>
    </xf>
    <xf numFmtId="0" fontId="0" fillId="0" borderId="3" xfId="0" applyBorder="1"/>
    <xf numFmtId="44" fontId="0" fillId="0" borderId="2" xfId="0" applyNumberFormat="1" applyBorder="1"/>
    <xf numFmtId="44" fontId="0" fillId="0" borderId="3" xfId="0" applyNumberFormat="1" applyBorder="1"/>
    <xf numFmtId="0" fontId="6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2" fillId="0" borderId="0" xfId="0" applyFont="1" applyAlignment="1">
      <alignment horizontal="left"/>
    </xf>
    <xf numFmtId="0" fontId="0" fillId="0" borderId="0" xfId="0" applyAlignment="1">
      <alignment horizontal="center" wrapText="1"/>
    </xf>
    <xf numFmtId="0" fontId="3" fillId="0" borderId="0" xfId="0" applyFont="1" applyAlignment="1">
      <alignment horizontal="center"/>
    </xf>
    <xf numFmtId="0" fontId="0" fillId="0" borderId="0" xfId="0" applyAlignment="1">
      <alignment horizontal="left"/>
    </xf>
    <xf numFmtId="44" fontId="0" fillId="0" borderId="0" xfId="1" applyFont="1" applyAlignment="1">
      <alignment horizontal="center" wrapText="1"/>
    </xf>
    <xf numFmtId="0" fontId="0" fillId="0" borderId="0" xfId="0" applyAlignment="1">
      <alignment horizontal="center"/>
    </xf>
    <xf numFmtId="44" fontId="5" fillId="0" borderId="0" xfId="1" applyFont="1" applyAlignment="1">
      <alignment horizontal="center" vertical="center"/>
    </xf>
    <xf numFmtId="0" fontId="5" fillId="0" borderId="0" xfId="0" applyFont="1" applyAlignment="1">
      <alignment horizontal="center" vertical="center"/>
    </xf>
  </cellXfs>
  <cellStyles count="2">
    <cellStyle name="Currency" xfId="1" builtinId="4"/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colors>
    <mruColors>
      <color rgb="FFFFC9FF"/>
      <color rgb="FFFFAB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152400</xdr:rowOff>
    </xdr:from>
    <xdr:to>
      <xdr:col>3</xdr:col>
      <xdr:colOff>56215</xdr:colOff>
      <xdr:row>6</xdr:row>
      <xdr:rowOff>133350</xdr:rowOff>
    </xdr:to>
    <xdr:pic>
      <xdr:nvPicPr>
        <xdr:cNvPr id="3" name="Imagen 1" descr="Image preview">
          <a:extLst>
            <a:ext uri="{FF2B5EF4-FFF2-40B4-BE49-F238E27FC236}">
              <a16:creationId xmlns:a16="http://schemas.microsoft.com/office/drawing/2014/main" id="{19C10A17-5192-462F-A688-8E388C0323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2900"/>
          <a:ext cx="2589865" cy="933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28576</xdr:colOff>
      <xdr:row>1</xdr:row>
      <xdr:rowOff>19051</xdr:rowOff>
    </xdr:from>
    <xdr:to>
      <xdr:col>2</xdr:col>
      <xdr:colOff>1200150</xdr:colOff>
      <xdr:row>6</xdr:row>
      <xdr:rowOff>38101</xdr:rowOff>
    </xdr:to>
    <xdr:pic>
      <xdr:nvPicPr>
        <xdr:cNvPr id="2" name="Imagen 1" descr="Image preview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6" y="209551"/>
          <a:ext cx="2695574" cy="971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3"/>
  <sheetViews>
    <sheetView zoomScaleNormal="100" workbookViewId="0">
      <selection activeCell="M18" sqref="M18"/>
    </sheetView>
  </sheetViews>
  <sheetFormatPr defaultColWidth="7.85546875" defaultRowHeight="15" x14ac:dyDescent="0.25"/>
  <cols>
    <col min="14" max="14" width="7.5703125" customWidth="1"/>
  </cols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 t="s">
        <v>4</v>
      </c>
      <c r="B2" t="s">
        <v>5</v>
      </c>
      <c r="C2" t="s">
        <v>6</v>
      </c>
      <c r="D2">
        <v>1</v>
      </c>
    </row>
    <row r="3" spans="1:4" x14ac:dyDescent="0.25">
      <c r="A3" t="s">
        <v>7</v>
      </c>
      <c r="B3" t="s">
        <v>8</v>
      </c>
      <c r="C3" t="s">
        <v>9</v>
      </c>
      <c r="D3">
        <v>18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2:H16"/>
  <sheetViews>
    <sheetView showGridLines="0" workbookViewId="0">
      <selection activeCell="C46" sqref="C46"/>
    </sheetView>
  </sheetViews>
  <sheetFormatPr defaultColWidth="11.42578125" defaultRowHeight="15" x14ac:dyDescent="0.25"/>
  <cols>
    <col min="3" max="3" width="15.140625" bestFit="1" customWidth="1"/>
    <col min="7" max="7" width="16.85546875" customWidth="1"/>
  </cols>
  <sheetData>
    <row r="2" spans="1:8" ht="15" customHeight="1" x14ac:dyDescent="0.25">
      <c r="D2" s="25" t="s">
        <v>15</v>
      </c>
      <c r="E2" s="25"/>
      <c r="F2" s="25"/>
      <c r="G2" s="25"/>
      <c r="H2" s="25"/>
    </row>
    <row r="3" spans="1:8" x14ac:dyDescent="0.25">
      <c r="D3" s="25"/>
      <c r="E3" s="25"/>
      <c r="F3" s="25"/>
      <c r="G3" s="25"/>
      <c r="H3" s="25"/>
    </row>
    <row r="4" spans="1:8" x14ac:dyDescent="0.25">
      <c r="D4" s="25"/>
      <c r="E4" s="25"/>
      <c r="F4" s="25"/>
      <c r="G4" s="25"/>
      <c r="H4" s="25"/>
    </row>
    <row r="5" spans="1:8" x14ac:dyDescent="0.25">
      <c r="D5" s="25"/>
      <c r="E5" s="25"/>
      <c r="F5" s="25"/>
      <c r="G5" s="25"/>
      <c r="H5" s="25"/>
    </row>
    <row r="6" spans="1:8" x14ac:dyDescent="0.25">
      <c r="D6" s="25"/>
      <c r="E6" s="25"/>
      <c r="F6" s="25"/>
      <c r="G6" s="25"/>
      <c r="H6" s="25"/>
    </row>
    <row r="7" spans="1:8" x14ac:dyDescent="0.25">
      <c r="D7" s="25"/>
      <c r="E7" s="25"/>
      <c r="F7" s="25"/>
      <c r="G7" s="25"/>
      <c r="H7" s="25"/>
    </row>
    <row r="8" spans="1:8" x14ac:dyDescent="0.25">
      <c r="A8" s="26">
        <v>2022</v>
      </c>
      <c r="B8" s="26"/>
      <c r="C8" s="26"/>
      <c r="D8" s="26"/>
      <c r="E8" s="26">
        <v>2023</v>
      </c>
      <c r="F8" s="26"/>
      <c r="G8" s="26"/>
      <c r="H8" s="26"/>
    </row>
    <row r="9" spans="1:8" x14ac:dyDescent="0.25">
      <c r="A9" s="26"/>
      <c r="B9" s="26"/>
      <c r="C9" s="26"/>
      <c r="D9" s="26"/>
      <c r="E9" s="26"/>
      <c r="F9" s="26"/>
      <c r="G9" s="26"/>
      <c r="H9" s="26"/>
    </row>
    <row r="10" spans="1:8" x14ac:dyDescent="0.25">
      <c r="A10" s="27" t="s">
        <v>10</v>
      </c>
      <c r="B10" s="27"/>
      <c r="C10" s="4">
        <v>76168200</v>
      </c>
      <c r="D10" s="4"/>
      <c r="E10" t="s">
        <v>10</v>
      </c>
      <c r="G10" s="2">
        <v>152336400.00000018</v>
      </c>
    </row>
    <row r="11" spans="1:8" x14ac:dyDescent="0.25">
      <c r="A11" s="27" t="s">
        <v>11</v>
      </c>
      <c r="B11" s="27"/>
      <c r="C11" s="1">
        <v>0.25</v>
      </c>
      <c r="D11" s="1"/>
      <c r="E11" t="s">
        <v>11</v>
      </c>
      <c r="G11" s="1">
        <v>0.33</v>
      </c>
    </row>
    <row r="12" spans="1:8" x14ac:dyDescent="0.25">
      <c r="A12" s="27" t="s">
        <v>12</v>
      </c>
      <c r="B12" s="27"/>
      <c r="C12" s="1">
        <v>0.15</v>
      </c>
      <c r="D12" s="1"/>
      <c r="E12" t="s">
        <v>12</v>
      </c>
      <c r="G12" s="1">
        <v>0.17</v>
      </c>
    </row>
    <row r="13" spans="1:8" x14ac:dyDescent="0.25">
      <c r="A13" s="27" t="s">
        <v>13</v>
      </c>
      <c r="B13" s="27"/>
      <c r="C13" s="1">
        <v>0.3</v>
      </c>
      <c r="D13" s="1"/>
      <c r="E13" t="s">
        <v>13</v>
      </c>
      <c r="G13" s="1">
        <v>0.32</v>
      </c>
    </row>
    <row r="14" spans="1:8" x14ac:dyDescent="0.25">
      <c r="C14" s="3"/>
      <c r="D14" s="3"/>
    </row>
    <row r="15" spans="1:8" x14ac:dyDescent="0.25">
      <c r="A15" s="24" t="s">
        <v>14</v>
      </c>
      <c r="B15" s="24"/>
      <c r="C15" s="5">
        <f>C10-(C10*C11)-(C10*C12)-(C10*C13)</f>
        <v>22850460</v>
      </c>
      <c r="D15" s="5"/>
      <c r="E15" s="24" t="s">
        <v>14</v>
      </c>
      <c r="F15" s="24"/>
      <c r="G15" s="6">
        <f>G10-(G10*G11)-(G10*G12)-(G10*G13)</f>
        <v>27420552.00000003</v>
      </c>
    </row>
    <row r="16" spans="1:8" x14ac:dyDescent="0.25">
      <c r="G16" s="6"/>
    </row>
  </sheetData>
  <mergeCells count="9">
    <mergeCell ref="E15:F15"/>
    <mergeCell ref="D2:H7"/>
    <mergeCell ref="A8:D9"/>
    <mergeCell ref="E8:H9"/>
    <mergeCell ref="A15:B15"/>
    <mergeCell ref="A10:B10"/>
    <mergeCell ref="A11:B11"/>
    <mergeCell ref="A12:B12"/>
    <mergeCell ref="A13:B13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2:I96"/>
  <sheetViews>
    <sheetView showGridLines="0" tabSelected="1" workbookViewId="0">
      <selection activeCell="D47" sqref="D47:E47"/>
    </sheetView>
  </sheetViews>
  <sheetFormatPr defaultColWidth="11.42578125" defaultRowHeight="15" x14ac:dyDescent="0.25"/>
  <cols>
    <col min="3" max="3" width="21.5703125" customWidth="1"/>
    <col min="7" max="8" width="20.28515625" customWidth="1"/>
  </cols>
  <sheetData>
    <row r="2" spans="1:9" ht="15" customHeight="1" x14ac:dyDescent="0.25">
      <c r="D2" s="25" t="s">
        <v>31</v>
      </c>
      <c r="E2" s="25"/>
      <c r="F2" s="25"/>
      <c r="G2" s="25"/>
      <c r="H2" s="25"/>
      <c r="I2" s="25"/>
    </row>
    <row r="3" spans="1:9" x14ac:dyDescent="0.25">
      <c r="D3" s="25"/>
      <c r="E3" s="25"/>
      <c r="F3" s="25"/>
      <c r="G3" s="25"/>
      <c r="H3" s="25"/>
      <c r="I3" s="25"/>
    </row>
    <row r="4" spans="1:9" x14ac:dyDescent="0.25">
      <c r="D4" s="25"/>
      <c r="E4" s="25"/>
      <c r="F4" s="25"/>
      <c r="G4" s="25"/>
      <c r="H4" s="25"/>
      <c r="I4" s="25"/>
    </row>
    <row r="5" spans="1:9" x14ac:dyDescent="0.25">
      <c r="D5" s="25"/>
      <c r="E5" s="25"/>
      <c r="F5" s="25"/>
      <c r="G5" s="25"/>
      <c r="H5" s="25"/>
      <c r="I5" s="25"/>
    </row>
    <row r="6" spans="1:9" x14ac:dyDescent="0.25">
      <c r="D6" s="25"/>
      <c r="E6" s="25"/>
      <c r="F6" s="25"/>
      <c r="G6" s="25"/>
      <c r="H6" s="25"/>
      <c r="I6" s="25"/>
    </row>
    <row r="7" spans="1:9" x14ac:dyDescent="0.25">
      <c r="D7" s="25"/>
      <c r="E7" s="25"/>
      <c r="F7" s="25"/>
      <c r="G7" s="25"/>
      <c r="H7" s="25"/>
      <c r="I7" s="25"/>
    </row>
    <row r="8" spans="1:9" x14ac:dyDescent="0.25">
      <c r="A8" s="26"/>
      <c r="B8" s="26"/>
      <c r="C8" s="26"/>
      <c r="D8" s="26"/>
      <c r="E8" s="26"/>
      <c r="F8" s="26"/>
      <c r="G8" s="26"/>
      <c r="H8" s="26"/>
    </row>
    <row r="9" spans="1:9" x14ac:dyDescent="0.25">
      <c r="A9" s="26"/>
      <c r="B9" s="26"/>
      <c r="C9" s="26"/>
      <c r="D9" s="26"/>
      <c r="E9" s="26"/>
      <c r="F9" s="26"/>
      <c r="G9" s="26"/>
      <c r="H9" s="26"/>
    </row>
    <row r="10" spans="1:9" x14ac:dyDescent="0.25">
      <c r="A10" s="27"/>
      <c r="B10" s="27"/>
      <c r="C10" s="4"/>
      <c r="D10" s="4"/>
      <c r="G10" s="7"/>
    </row>
    <row r="11" spans="1:9" ht="15.75" x14ac:dyDescent="0.25">
      <c r="A11" s="27"/>
      <c r="B11" s="27"/>
      <c r="C11" s="11" t="s">
        <v>16</v>
      </c>
      <c r="D11" s="1"/>
      <c r="G11" s="1"/>
    </row>
    <row r="12" spans="1:9" ht="18.75" x14ac:dyDescent="0.3">
      <c r="A12" s="27"/>
      <c r="B12" s="27"/>
      <c r="C12" s="14">
        <v>800000</v>
      </c>
      <c r="D12" s="8"/>
      <c r="G12" s="1"/>
    </row>
    <row r="13" spans="1:9" x14ac:dyDescent="0.25">
      <c r="A13" s="27"/>
      <c r="B13" s="27"/>
      <c r="C13" s="1"/>
      <c r="D13" s="1"/>
      <c r="G13" s="1"/>
    </row>
    <row r="14" spans="1:9" x14ac:dyDescent="0.25">
      <c r="C14" s="3"/>
      <c r="D14" s="3"/>
    </row>
    <row r="15" spans="1:9" ht="25.5" customHeight="1" x14ac:dyDescent="0.25">
      <c r="A15" s="24"/>
      <c r="B15" s="24"/>
      <c r="C15" s="9" t="s">
        <v>17</v>
      </c>
      <c r="D15" s="30" t="s">
        <v>18</v>
      </c>
      <c r="E15" s="30"/>
      <c r="F15" s="31" t="s">
        <v>90</v>
      </c>
      <c r="G15" s="31"/>
      <c r="H15" s="10" t="s">
        <v>19</v>
      </c>
    </row>
    <row r="16" spans="1:9" x14ac:dyDescent="0.25">
      <c r="C16" t="s">
        <v>20</v>
      </c>
      <c r="D16">
        <v>1</v>
      </c>
      <c r="F16" s="15">
        <v>50000</v>
      </c>
      <c r="G16" s="15"/>
      <c r="H16" s="12">
        <f>F16*D16</f>
        <v>50000</v>
      </c>
    </row>
    <row r="17" spans="3:8" x14ac:dyDescent="0.25">
      <c r="C17" t="s">
        <v>21</v>
      </c>
      <c r="D17">
        <v>7</v>
      </c>
      <c r="F17" s="15">
        <v>23000</v>
      </c>
      <c r="G17" s="15"/>
      <c r="H17" s="12">
        <f t="shared" ref="H17:H26" si="0">F17*D17</f>
        <v>161000</v>
      </c>
    </row>
    <row r="18" spans="3:8" x14ac:dyDescent="0.25">
      <c r="C18" t="s">
        <v>22</v>
      </c>
      <c r="D18">
        <v>1</v>
      </c>
      <c r="F18" s="15">
        <v>50000</v>
      </c>
      <c r="G18" s="15"/>
      <c r="H18" s="12">
        <f t="shared" si="0"/>
        <v>50000</v>
      </c>
    </row>
    <row r="19" spans="3:8" x14ac:dyDescent="0.25">
      <c r="C19" t="s">
        <v>23</v>
      </c>
      <c r="D19">
        <v>6</v>
      </c>
      <c r="F19" s="15">
        <v>18000</v>
      </c>
      <c r="G19" s="15"/>
      <c r="H19" s="12">
        <f t="shared" si="0"/>
        <v>108000</v>
      </c>
    </row>
    <row r="20" spans="3:8" x14ac:dyDescent="0.25">
      <c r="C20" t="s">
        <v>24</v>
      </c>
      <c r="D20">
        <v>1</v>
      </c>
      <c r="F20" s="15">
        <v>60000</v>
      </c>
      <c r="G20" s="15"/>
      <c r="H20" s="12">
        <f t="shared" si="0"/>
        <v>60000</v>
      </c>
    </row>
    <row r="21" spans="3:8" x14ac:dyDescent="0.25">
      <c r="C21" t="s">
        <v>25</v>
      </c>
      <c r="D21">
        <v>5</v>
      </c>
      <c r="F21" s="15">
        <v>15000</v>
      </c>
      <c r="G21" s="15"/>
      <c r="H21" s="12">
        <f t="shared" si="0"/>
        <v>75000</v>
      </c>
    </row>
    <row r="22" spans="3:8" x14ac:dyDescent="0.25">
      <c r="C22" t="s">
        <v>26</v>
      </c>
      <c r="D22">
        <v>2</v>
      </c>
      <c r="F22" s="15">
        <v>7500</v>
      </c>
      <c r="G22" s="15"/>
      <c r="H22" s="12">
        <f t="shared" si="0"/>
        <v>15000</v>
      </c>
    </row>
    <row r="23" spans="3:8" x14ac:dyDescent="0.25">
      <c r="C23" t="s">
        <v>27</v>
      </c>
      <c r="D23">
        <v>3</v>
      </c>
      <c r="F23" s="15">
        <v>12000</v>
      </c>
      <c r="G23" s="15"/>
      <c r="H23" s="12">
        <f t="shared" si="0"/>
        <v>36000</v>
      </c>
    </row>
    <row r="24" spans="3:8" x14ac:dyDescent="0.25">
      <c r="C24" t="s">
        <v>28</v>
      </c>
      <c r="D24">
        <v>2</v>
      </c>
      <c r="F24" s="15">
        <v>15000</v>
      </c>
      <c r="G24" s="15"/>
      <c r="H24" s="12">
        <f t="shared" si="0"/>
        <v>30000</v>
      </c>
    </row>
    <row r="25" spans="3:8" x14ac:dyDescent="0.25">
      <c r="C25" t="s">
        <v>29</v>
      </c>
      <c r="D25">
        <v>1</v>
      </c>
      <c r="F25" s="15">
        <v>55000</v>
      </c>
      <c r="G25" s="15"/>
      <c r="H25" s="12">
        <f t="shared" si="0"/>
        <v>55000</v>
      </c>
    </row>
    <row r="26" spans="3:8" x14ac:dyDescent="0.25">
      <c r="C26" t="s">
        <v>30</v>
      </c>
      <c r="D26">
        <v>8</v>
      </c>
      <c r="F26" s="15">
        <v>20000</v>
      </c>
      <c r="G26" s="15"/>
      <c r="H26" s="12">
        <f t="shared" si="0"/>
        <v>160000</v>
      </c>
    </row>
    <row r="27" spans="3:8" ht="18.75" x14ac:dyDescent="0.3">
      <c r="D27" s="29"/>
      <c r="E27" s="29"/>
      <c r="F27" s="28"/>
      <c r="G27" s="28"/>
      <c r="H27" s="13">
        <f>SUM(H16:H26)</f>
        <v>800000</v>
      </c>
    </row>
    <row r="28" spans="3:8" ht="18.75" x14ac:dyDescent="0.3">
      <c r="D28" s="29"/>
      <c r="E28" s="29"/>
      <c r="F28" s="28"/>
      <c r="G28" s="28"/>
      <c r="H28" s="13"/>
    </row>
    <row r="29" spans="3:8" x14ac:dyDescent="0.25">
      <c r="D29" s="29"/>
      <c r="E29" s="29"/>
      <c r="F29" s="25"/>
      <c r="G29" s="25"/>
    </row>
    <row r="30" spans="3:8" x14ac:dyDescent="0.25">
      <c r="D30" s="29"/>
      <c r="E30" s="29"/>
      <c r="F30" s="25"/>
      <c r="G30" s="25"/>
    </row>
    <row r="31" spans="3:8" x14ac:dyDescent="0.25">
      <c r="D31" s="29"/>
      <c r="E31" s="29"/>
      <c r="F31" s="25"/>
      <c r="G31" s="25"/>
    </row>
    <row r="32" spans="3:8" x14ac:dyDescent="0.25">
      <c r="D32" s="29"/>
      <c r="E32" s="29"/>
      <c r="F32" s="25"/>
      <c r="G32" s="25"/>
    </row>
    <row r="33" spans="4:7" x14ac:dyDescent="0.25">
      <c r="D33" s="29"/>
      <c r="E33" s="29"/>
      <c r="F33" s="25"/>
      <c r="G33" s="25"/>
    </row>
    <row r="34" spans="4:7" x14ac:dyDescent="0.25">
      <c r="D34" s="29"/>
      <c r="E34" s="29"/>
      <c r="F34" s="25"/>
      <c r="G34" s="25"/>
    </row>
    <row r="35" spans="4:7" x14ac:dyDescent="0.25">
      <c r="D35" s="29"/>
      <c r="E35" s="29"/>
      <c r="F35" s="25"/>
      <c r="G35" s="25"/>
    </row>
    <row r="36" spans="4:7" x14ac:dyDescent="0.25">
      <c r="D36" s="29"/>
      <c r="E36" s="29"/>
      <c r="F36" s="25"/>
      <c r="G36" s="25"/>
    </row>
    <row r="37" spans="4:7" x14ac:dyDescent="0.25">
      <c r="D37" s="29"/>
      <c r="E37" s="29"/>
      <c r="F37" s="25"/>
      <c r="G37" s="25"/>
    </row>
    <row r="38" spans="4:7" x14ac:dyDescent="0.25">
      <c r="D38" s="29"/>
      <c r="E38" s="29"/>
      <c r="F38" s="25"/>
      <c r="G38" s="25"/>
    </row>
    <row r="39" spans="4:7" x14ac:dyDescent="0.25">
      <c r="D39" s="29"/>
      <c r="E39" s="29"/>
      <c r="F39" s="25"/>
      <c r="G39" s="25"/>
    </row>
    <row r="40" spans="4:7" x14ac:dyDescent="0.25">
      <c r="D40" s="29"/>
      <c r="E40" s="29"/>
      <c r="F40" s="25"/>
      <c r="G40" s="25"/>
    </row>
    <row r="41" spans="4:7" x14ac:dyDescent="0.25">
      <c r="D41" s="29"/>
      <c r="E41" s="29"/>
      <c r="F41" s="25"/>
      <c r="G41" s="25"/>
    </row>
    <row r="42" spans="4:7" x14ac:dyDescent="0.25">
      <c r="D42" s="29"/>
      <c r="E42" s="29"/>
      <c r="F42" s="25"/>
      <c r="G42" s="25"/>
    </row>
    <row r="43" spans="4:7" x14ac:dyDescent="0.25">
      <c r="D43" s="29"/>
      <c r="E43" s="29"/>
      <c r="F43" s="25"/>
      <c r="G43" s="25"/>
    </row>
    <row r="44" spans="4:7" x14ac:dyDescent="0.25">
      <c r="D44" s="29"/>
      <c r="E44" s="29"/>
      <c r="F44" s="25"/>
      <c r="G44" s="25"/>
    </row>
    <row r="45" spans="4:7" x14ac:dyDescent="0.25">
      <c r="D45" s="29"/>
      <c r="E45" s="29"/>
      <c r="F45" s="25"/>
      <c r="G45" s="25"/>
    </row>
    <row r="46" spans="4:7" x14ac:dyDescent="0.25">
      <c r="D46" s="29"/>
      <c r="E46" s="29"/>
      <c r="F46" s="25"/>
      <c r="G46" s="25"/>
    </row>
    <row r="47" spans="4:7" x14ac:dyDescent="0.25">
      <c r="D47" s="29"/>
      <c r="E47" s="29"/>
      <c r="F47" s="25"/>
      <c r="G47" s="25"/>
    </row>
    <row r="48" spans="4:7" x14ac:dyDescent="0.25">
      <c r="D48" s="29"/>
      <c r="E48" s="29"/>
      <c r="F48" s="25"/>
      <c r="G48" s="25"/>
    </row>
    <row r="49" spans="4:7" x14ac:dyDescent="0.25">
      <c r="D49" s="29"/>
      <c r="E49" s="29"/>
      <c r="F49" s="25"/>
      <c r="G49" s="25"/>
    </row>
    <row r="50" spans="4:7" x14ac:dyDescent="0.25">
      <c r="D50" s="29"/>
      <c r="E50" s="29"/>
      <c r="F50" s="25"/>
      <c r="G50" s="25"/>
    </row>
    <row r="51" spans="4:7" x14ac:dyDescent="0.25">
      <c r="D51" s="29"/>
      <c r="E51" s="29"/>
      <c r="F51" s="25"/>
      <c r="G51" s="25"/>
    </row>
    <row r="52" spans="4:7" x14ac:dyDescent="0.25">
      <c r="D52" s="29"/>
      <c r="E52" s="29"/>
      <c r="F52" s="25"/>
      <c r="G52" s="25"/>
    </row>
    <row r="53" spans="4:7" x14ac:dyDescent="0.25">
      <c r="D53" s="29"/>
      <c r="E53" s="29"/>
      <c r="F53" s="25"/>
      <c r="G53" s="25"/>
    </row>
    <row r="54" spans="4:7" x14ac:dyDescent="0.25">
      <c r="D54" s="29"/>
      <c r="E54" s="29"/>
      <c r="F54" s="25"/>
      <c r="G54" s="25"/>
    </row>
    <row r="55" spans="4:7" x14ac:dyDescent="0.25">
      <c r="D55" s="29"/>
      <c r="E55" s="29"/>
      <c r="F55" s="25"/>
      <c r="G55" s="25"/>
    </row>
    <row r="56" spans="4:7" x14ac:dyDescent="0.25">
      <c r="D56" s="29"/>
      <c r="E56" s="29"/>
      <c r="F56" s="25"/>
      <c r="G56" s="25"/>
    </row>
    <row r="57" spans="4:7" x14ac:dyDescent="0.25">
      <c r="D57" s="29"/>
      <c r="E57" s="29"/>
      <c r="F57" s="25"/>
      <c r="G57" s="25"/>
    </row>
    <row r="58" spans="4:7" x14ac:dyDescent="0.25">
      <c r="D58" s="29"/>
      <c r="E58" s="29"/>
      <c r="F58" s="25"/>
      <c r="G58" s="25"/>
    </row>
    <row r="59" spans="4:7" x14ac:dyDescent="0.25">
      <c r="D59" s="29"/>
      <c r="E59" s="29"/>
      <c r="F59" s="25"/>
      <c r="G59" s="25"/>
    </row>
    <row r="60" spans="4:7" x14ac:dyDescent="0.25">
      <c r="D60" s="29"/>
      <c r="E60" s="29"/>
      <c r="F60" s="25"/>
      <c r="G60" s="25"/>
    </row>
    <row r="61" spans="4:7" x14ac:dyDescent="0.25">
      <c r="D61" s="29"/>
      <c r="E61" s="29"/>
      <c r="F61" s="25"/>
      <c r="G61" s="25"/>
    </row>
    <row r="62" spans="4:7" x14ac:dyDescent="0.25">
      <c r="D62" s="29"/>
      <c r="E62" s="29"/>
      <c r="F62" s="25"/>
      <c r="G62" s="25"/>
    </row>
    <row r="63" spans="4:7" x14ac:dyDescent="0.25">
      <c r="D63" s="29"/>
      <c r="E63" s="29"/>
      <c r="F63" s="25"/>
      <c r="G63" s="25"/>
    </row>
    <row r="64" spans="4:7" x14ac:dyDescent="0.25">
      <c r="D64" s="29"/>
      <c r="E64" s="29"/>
      <c r="F64" s="25"/>
      <c r="G64" s="25"/>
    </row>
    <row r="65" spans="4:7" x14ac:dyDescent="0.25">
      <c r="D65" s="29"/>
      <c r="E65" s="29"/>
      <c r="F65" s="25"/>
      <c r="G65" s="25"/>
    </row>
    <row r="66" spans="4:7" x14ac:dyDescent="0.25">
      <c r="D66" s="29"/>
      <c r="E66" s="29"/>
      <c r="F66" s="25"/>
      <c r="G66" s="25"/>
    </row>
    <row r="67" spans="4:7" x14ac:dyDescent="0.25">
      <c r="D67" s="29"/>
      <c r="E67" s="29"/>
      <c r="F67" s="25"/>
      <c r="G67" s="25"/>
    </row>
    <row r="68" spans="4:7" x14ac:dyDescent="0.25">
      <c r="D68" s="29"/>
      <c r="E68" s="29"/>
      <c r="F68" s="25"/>
      <c r="G68" s="25"/>
    </row>
    <row r="69" spans="4:7" x14ac:dyDescent="0.25">
      <c r="D69" s="29"/>
      <c r="E69" s="29"/>
      <c r="F69" s="25"/>
      <c r="G69" s="25"/>
    </row>
    <row r="70" spans="4:7" x14ac:dyDescent="0.25">
      <c r="D70" s="29"/>
      <c r="E70" s="29"/>
      <c r="F70" s="25"/>
      <c r="G70" s="25"/>
    </row>
    <row r="71" spans="4:7" x14ac:dyDescent="0.25">
      <c r="D71" s="29"/>
      <c r="E71" s="29"/>
      <c r="F71" s="25"/>
      <c r="G71" s="25"/>
    </row>
    <row r="72" spans="4:7" x14ac:dyDescent="0.25">
      <c r="D72" s="29"/>
      <c r="E72" s="29"/>
      <c r="F72" s="25"/>
      <c r="G72" s="25"/>
    </row>
    <row r="73" spans="4:7" x14ac:dyDescent="0.25">
      <c r="D73" s="29"/>
      <c r="E73" s="29"/>
      <c r="F73" s="25"/>
      <c r="G73" s="25"/>
    </row>
    <row r="74" spans="4:7" x14ac:dyDescent="0.25">
      <c r="D74" s="29"/>
      <c r="E74" s="29"/>
      <c r="F74" s="25"/>
      <c r="G74" s="25"/>
    </row>
    <row r="75" spans="4:7" x14ac:dyDescent="0.25">
      <c r="D75" s="29"/>
      <c r="E75" s="29"/>
      <c r="F75" s="25"/>
      <c r="G75" s="25"/>
    </row>
    <row r="76" spans="4:7" x14ac:dyDescent="0.25">
      <c r="D76" s="29"/>
      <c r="E76" s="29"/>
      <c r="F76" s="25"/>
      <c r="G76" s="25"/>
    </row>
    <row r="77" spans="4:7" x14ac:dyDescent="0.25">
      <c r="D77" s="29"/>
      <c r="E77" s="29"/>
      <c r="F77" s="25"/>
      <c r="G77" s="25"/>
    </row>
    <row r="78" spans="4:7" x14ac:dyDescent="0.25">
      <c r="D78" s="29"/>
      <c r="E78" s="29"/>
      <c r="F78" s="25"/>
      <c r="G78" s="25"/>
    </row>
    <row r="79" spans="4:7" x14ac:dyDescent="0.25">
      <c r="D79" s="29"/>
      <c r="E79" s="29"/>
      <c r="F79" s="25"/>
      <c r="G79" s="25"/>
    </row>
    <row r="80" spans="4:7" x14ac:dyDescent="0.25">
      <c r="D80" s="29"/>
      <c r="E80" s="29"/>
      <c r="F80" s="25"/>
      <c r="G80" s="25"/>
    </row>
    <row r="81" spans="4:7" x14ac:dyDescent="0.25">
      <c r="D81" s="29"/>
      <c r="E81" s="29"/>
      <c r="F81" s="25"/>
      <c r="G81" s="25"/>
    </row>
    <row r="82" spans="4:7" x14ac:dyDescent="0.25">
      <c r="D82" s="29"/>
      <c r="E82" s="29"/>
      <c r="F82" s="25"/>
      <c r="G82" s="25"/>
    </row>
    <row r="83" spans="4:7" x14ac:dyDescent="0.25">
      <c r="D83" s="29"/>
      <c r="E83" s="29"/>
      <c r="F83" s="25"/>
      <c r="G83" s="25"/>
    </row>
    <row r="84" spans="4:7" x14ac:dyDescent="0.25">
      <c r="D84" s="29"/>
      <c r="E84" s="29"/>
      <c r="F84" s="25"/>
      <c r="G84" s="25"/>
    </row>
    <row r="85" spans="4:7" x14ac:dyDescent="0.25">
      <c r="D85" s="29"/>
      <c r="E85" s="29"/>
      <c r="F85" s="25"/>
      <c r="G85" s="25"/>
    </row>
    <row r="86" spans="4:7" x14ac:dyDescent="0.25">
      <c r="D86" s="29"/>
      <c r="E86" s="29"/>
      <c r="F86" s="25"/>
      <c r="G86" s="25"/>
    </row>
    <row r="87" spans="4:7" x14ac:dyDescent="0.25">
      <c r="D87" s="29"/>
      <c r="E87" s="29"/>
      <c r="F87" s="25"/>
      <c r="G87" s="25"/>
    </row>
    <row r="88" spans="4:7" x14ac:dyDescent="0.25">
      <c r="D88" s="29"/>
      <c r="E88" s="29"/>
      <c r="F88" s="25"/>
      <c r="G88" s="25"/>
    </row>
    <row r="89" spans="4:7" x14ac:dyDescent="0.25">
      <c r="D89" s="29"/>
      <c r="E89" s="29"/>
    </row>
    <row r="90" spans="4:7" x14ac:dyDescent="0.25">
      <c r="D90" s="29"/>
      <c r="E90" s="29"/>
    </row>
    <row r="91" spans="4:7" x14ac:dyDescent="0.25">
      <c r="D91" s="29"/>
      <c r="E91" s="29"/>
    </row>
    <row r="92" spans="4:7" x14ac:dyDescent="0.25">
      <c r="D92" s="29"/>
      <c r="E92" s="29"/>
    </row>
    <row r="93" spans="4:7" x14ac:dyDescent="0.25">
      <c r="D93" s="29"/>
      <c r="E93" s="29"/>
    </row>
    <row r="94" spans="4:7" x14ac:dyDescent="0.25">
      <c r="D94" s="29"/>
      <c r="E94" s="29"/>
    </row>
    <row r="95" spans="4:7" x14ac:dyDescent="0.25">
      <c r="D95" s="29"/>
      <c r="E95" s="29"/>
    </row>
    <row r="96" spans="4:7" x14ac:dyDescent="0.25">
      <c r="D96" s="29"/>
      <c r="E96" s="29"/>
    </row>
  </sheetData>
  <scenarios current="0">
    <scenario name="Solver 1" count="11" user="sergio.lopezf@ggcorp.mx" comment="Creado por sergio.lopezf@ggcorp.mx el 12/2/2022">
      <inputCells r="D16" val="1"/>
      <inputCells r="D17" val="7"/>
      <inputCells r="D18" val="1"/>
      <inputCells r="D19" val="6"/>
      <inputCells r="D20" val="1"/>
      <inputCells r="D21" val="5"/>
      <inputCells r="D22" val="2"/>
      <inputCells r="D23" val="3"/>
      <inputCells r="D24" val="2"/>
      <inputCells r="D25" val="1"/>
      <inputCells r="D26" val="8"/>
    </scenario>
  </scenarios>
  <mergeCells count="142">
    <mergeCell ref="D27:E27"/>
    <mergeCell ref="A13:B13"/>
    <mergeCell ref="A15:B15"/>
    <mergeCell ref="D15:E15"/>
    <mergeCell ref="F15:G15"/>
    <mergeCell ref="D2:I7"/>
    <mergeCell ref="A8:D9"/>
    <mergeCell ref="E8:H9"/>
    <mergeCell ref="A10:B10"/>
    <mergeCell ref="A11:B11"/>
    <mergeCell ref="A12:B12"/>
    <mergeCell ref="F27:G27"/>
    <mergeCell ref="D34:E34"/>
    <mergeCell ref="D35:E35"/>
    <mergeCell ref="D36:E36"/>
    <mergeCell ref="D37:E37"/>
    <mergeCell ref="D38:E38"/>
    <mergeCell ref="D39:E39"/>
    <mergeCell ref="D28:E28"/>
    <mergeCell ref="D29:E29"/>
    <mergeCell ref="D30:E30"/>
    <mergeCell ref="D31:E31"/>
    <mergeCell ref="D32:E32"/>
    <mergeCell ref="D33:E33"/>
    <mergeCell ref="D46:E46"/>
    <mergeCell ref="D47:E47"/>
    <mergeCell ref="D48:E48"/>
    <mergeCell ref="D49:E49"/>
    <mergeCell ref="D50:E50"/>
    <mergeCell ref="D51:E51"/>
    <mergeCell ref="D40:E40"/>
    <mergeCell ref="D41:E41"/>
    <mergeCell ref="D42:E42"/>
    <mergeCell ref="D43:E43"/>
    <mergeCell ref="D44:E44"/>
    <mergeCell ref="D45:E45"/>
    <mergeCell ref="D58:E58"/>
    <mergeCell ref="D59:E59"/>
    <mergeCell ref="D60:E60"/>
    <mergeCell ref="D61:E61"/>
    <mergeCell ref="D62:E62"/>
    <mergeCell ref="D63:E63"/>
    <mergeCell ref="D52:E52"/>
    <mergeCell ref="D53:E53"/>
    <mergeCell ref="D54:E54"/>
    <mergeCell ref="D55:E55"/>
    <mergeCell ref="D56:E56"/>
    <mergeCell ref="D57:E57"/>
    <mergeCell ref="D71:E71"/>
    <mergeCell ref="D72:E72"/>
    <mergeCell ref="D73:E73"/>
    <mergeCell ref="D74:E74"/>
    <mergeCell ref="D75:E75"/>
    <mergeCell ref="D64:E64"/>
    <mergeCell ref="D65:E65"/>
    <mergeCell ref="D66:E66"/>
    <mergeCell ref="D67:E67"/>
    <mergeCell ref="D68:E68"/>
    <mergeCell ref="D69:E69"/>
    <mergeCell ref="F28:G28"/>
    <mergeCell ref="D94:E94"/>
    <mergeCell ref="D95:E95"/>
    <mergeCell ref="D96:E96"/>
    <mergeCell ref="D88:E88"/>
    <mergeCell ref="D89:E89"/>
    <mergeCell ref="D90:E90"/>
    <mergeCell ref="D91:E91"/>
    <mergeCell ref="D92:E92"/>
    <mergeCell ref="D93:E93"/>
    <mergeCell ref="D82:E82"/>
    <mergeCell ref="D83:E83"/>
    <mergeCell ref="D84:E84"/>
    <mergeCell ref="D85:E85"/>
    <mergeCell ref="D86:E86"/>
    <mergeCell ref="D87:E87"/>
    <mergeCell ref="D76:E76"/>
    <mergeCell ref="D77:E77"/>
    <mergeCell ref="D78:E78"/>
    <mergeCell ref="D79:E79"/>
    <mergeCell ref="D80:E80"/>
    <mergeCell ref="D81:E81"/>
    <mergeCell ref="D70:E70"/>
    <mergeCell ref="F35:G35"/>
    <mergeCell ref="F36:G36"/>
    <mergeCell ref="F37:G37"/>
    <mergeCell ref="F38:G38"/>
    <mergeCell ref="F39:G39"/>
    <mergeCell ref="F40:G40"/>
    <mergeCell ref="F29:G29"/>
    <mergeCell ref="F30:G30"/>
    <mergeCell ref="F31:G31"/>
    <mergeCell ref="F32:G32"/>
    <mergeCell ref="F33:G33"/>
    <mergeCell ref="F34:G34"/>
    <mergeCell ref="F47:G47"/>
    <mergeCell ref="F48:G48"/>
    <mergeCell ref="F49:G49"/>
    <mergeCell ref="F50:G50"/>
    <mergeCell ref="F51:G51"/>
    <mergeCell ref="F52:G52"/>
    <mergeCell ref="F41:G41"/>
    <mergeCell ref="F42:G42"/>
    <mergeCell ref="F43:G43"/>
    <mergeCell ref="F44:G44"/>
    <mergeCell ref="F45:G45"/>
    <mergeCell ref="F46:G46"/>
    <mergeCell ref="F59:G59"/>
    <mergeCell ref="F60:G60"/>
    <mergeCell ref="F61:G61"/>
    <mergeCell ref="F62:G62"/>
    <mergeCell ref="F63:G63"/>
    <mergeCell ref="F64:G64"/>
    <mergeCell ref="F53:G53"/>
    <mergeCell ref="F54:G54"/>
    <mergeCell ref="F55:G55"/>
    <mergeCell ref="F56:G56"/>
    <mergeCell ref="F57:G57"/>
    <mergeCell ref="F58:G58"/>
    <mergeCell ref="F71:G71"/>
    <mergeCell ref="F72:G72"/>
    <mergeCell ref="F73:G73"/>
    <mergeCell ref="F74:G74"/>
    <mergeCell ref="F75:G75"/>
    <mergeCell ref="F76:G76"/>
    <mergeCell ref="F65:G65"/>
    <mergeCell ref="F66:G66"/>
    <mergeCell ref="F67:G67"/>
    <mergeCell ref="F68:G68"/>
    <mergeCell ref="F69:G69"/>
    <mergeCell ref="F70:G70"/>
    <mergeCell ref="F83:G83"/>
    <mergeCell ref="F84:G84"/>
    <mergeCell ref="F85:G85"/>
    <mergeCell ref="F86:G86"/>
    <mergeCell ref="F87:G87"/>
    <mergeCell ref="F88:G88"/>
    <mergeCell ref="F77:G77"/>
    <mergeCell ref="F78:G78"/>
    <mergeCell ref="F79:G79"/>
    <mergeCell ref="F80:G80"/>
    <mergeCell ref="F81:G81"/>
    <mergeCell ref="F82:G82"/>
  </mergeCell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"/>
  <dimension ref="A1:G46"/>
  <sheetViews>
    <sheetView showGridLines="0" workbookViewId="0">
      <selection activeCell="G35" sqref="G35"/>
    </sheetView>
  </sheetViews>
  <sheetFormatPr defaultColWidth="11.42578125" defaultRowHeight="15" outlineLevelRow="1" x14ac:dyDescent="0.25"/>
  <cols>
    <col min="1" max="1" width="2.28515625" customWidth="1"/>
    <col min="2" max="2" width="19.140625" customWidth="1"/>
    <col min="3" max="3" width="42.140625" customWidth="1"/>
    <col min="4" max="4" width="15.5703125" bestFit="1" customWidth="1"/>
    <col min="5" max="6" width="13.28515625" customWidth="1"/>
    <col min="7" max="7" width="8" customWidth="1"/>
  </cols>
  <sheetData>
    <row r="1" spans="1:5" x14ac:dyDescent="0.25">
      <c r="A1" s="16" t="s">
        <v>32</v>
      </c>
    </row>
    <row r="2" spans="1:5" x14ac:dyDescent="0.25">
      <c r="A2" s="16" t="s">
        <v>33</v>
      </c>
    </row>
    <row r="3" spans="1:5" x14ac:dyDescent="0.25">
      <c r="A3" s="16" t="s">
        <v>34</v>
      </c>
    </row>
    <row r="4" spans="1:5" x14ac:dyDescent="0.25">
      <c r="A4" s="16" t="s">
        <v>35</v>
      </c>
    </row>
    <row r="5" spans="1:5" x14ac:dyDescent="0.25">
      <c r="A5" s="16" t="s">
        <v>36</v>
      </c>
    </row>
    <row r="6" spans="1:5" hidden="1" outlineLevel="1" x14ac:dyDescent="0.25">
      <c r="A6" s="16"/>
      <c r="B6" t="s">
        <v>37</v>
      </c>
    </row>
    <row r="7" spans="1:5" hidden="1" outlineLevel="1" x14ac:dyDescent="0.25">
      <c r="A7" s="16"/>
      <c r="B7" t="s">
        <v>38</v>
      </c>
    </row>
    <row r="8" spans="1:5" hidden="1" outlineLevel="1" x14ac:dyDescent="0.25">
      <c r="A8" s="16"/>
      <c r="B8" t="s">
        <v>39</v>
      </c>
    </row>
    <row r="9" spans="1:5" collapsed="1" x14ac:dyDescent="0.25">
      <c r="A9" s="16" t="s">
        <v>40</v>
      </c>
    </row>
    <row r="10" spans="1:5" hidden="1" outlineLevel="1" x14ac:dyDescent="0.25">
      <c r="B10" t="s">
        <v>41</v>
      </c>
    </row>
    <row r="11" spans="1:5" hidden="1" outlineLevel="1" x14ac:dyDescent="0.25">
      <c r="B11" t="s">
        <v>42</v>
      </c>
    </row>
    <row r="12" spans="1:5" hidden="1" outlineLevel="1" x14ac:dyDescent="0.25">
      <c r="B12" t="s">
        <v>43</v>
      </c>
    </row>
    <row r="13" spans="1:5" collapsed="1" x14ac:dyDescent="0.25"/>
    <row r="14" spans="1:5" ht="15.75" thickBot="1" x14ac:dyDescent="0.3">
      <c r="A14" t="s">
        <v>44</v>
      </c>
    </row>
    <row r="15" spans="1:5" ht="15.75" thickBot="1" x14ac:dyDescent="0.3">
      <c r="B15" s="18" t="s">
        <v>45</v>
      </c>
      <c r="C15" s="18" t="s">
        <v>0</v>
      </c>
      <c r="D15" s="18" t="s">
        <v>46</v>
      </c>
      <c r="E15" s="18" t="s">
        <v>47</v>
      </c>
    </row>
    <row r="16" spans="1:5" ht="15.75" thickBot="1" x14ac:dyDescent="0.3">
      <c r="B16" s="17" t="s">
        <v>55</v>
      </c>
      <c r="C16" s="17" t="s">
        <v>19</v>
      </c>
      <c r="D16" s="20">
        <v>800000</v>
      </c>
      <c r="E16" s="20">
        <v>800000</v>
      </c>
    </row>
    <row r="19" spans="1:6" ht="15.75" thickBot="1" x14ac:dyDescent="0.3">
      <c r="A19" t="s">
        <v>48</v>
      </c>
    </row>
    <row r="20" spans="1:6" ht="15.75" thickBot="1" x14ac:dyDescent="0.3">
      <c r="B20" s="18" t="s">
        <v>45</v>
      </c>
      <c r="C20" s="18" t="s">
        <v>0</v>
      </c>
      <c r="D20" s="18" t="s">
        <v>46</v>
      </c>
      <c r="E20" s="18" t="s">
        <v>47</v>
      </c>
      <c r="F20" s="18" t="s">
        <v>49</v>
      </c>
    </row>
    <row r="21" spans="1:6" x14ac:dyDescent="0.25">
      <c r="B21" s="23" t="s">
        <v>89</v>
      </c>
      <c r="C21" s="22"/>
      <c r="D21" s="22"/>
      <c r="E21" s="22"/>
      <c r="F21" s="22"/>
    </row>
    <row r="22" spans="1:6" hidden="1" outlineLevel="1" x14ac:dyDescent="0.25">
      <c r="B22" s="19" t="s">
        <v>56</v>
      </c>
      <c r="C22" s="19" t="s">
        <v>57</v>
      </c>
      <c r="D22" s="19">
        <v>1</v>
      </c>
      <c r="E22" s="19">
        <v>1</v>
      </c>
      <c r="F22" s="19" t="s">
        <v>49</v>
      </c>
    </row>
    <row r="23" spans="1:6" hidden="1" outlineLevel="1" x14ac:dyDescent="0.25">
      <c r="B23" s="19" t="s">
        <v>58</v>
      </c>
      <c r="C23" s="19" t="s">
        <v>59</v>
      </c>
      <c r="D23" s="19">
        <v>7</v>
      </c>
      <c r="E23" s="19">
        <v>7</v>
      </c>
      <c r="F23" s="19" t="s">
        <v>49</v>
      </c>
    </row>
    <row r="24" spans="1:6" hidden="1" outlineLevel="1" x14ac:dyDescent="0.25">
      <c r="B24" s="19" t="s">
        <v>60</v>
      </c>
      <c r="C24" s="19" t="s">
        <v>61</v>
      </c>
      <c r="D24" s="19">
        <v>1</v>
      </c>
      <c r="E24" s="19">
        <v>1</v>
      </c>
      <c r="F24" s="19" t="s">
        <v>49</v>
      </c>
    </row>
    <row r="25" spans="1:6" hidden="1" outlineLevel="1" x14ac:dyDescent="0.25">
      <c r="B25" s="19" t="s">
        <v>62</v>
      </c>
      <c r="C25" s="19" t="s">
        <v>63</v>
      </c>
      <c r="D25" s="19">
        <v>6</v>
      </c>
      <c r="E25" s="19">
        <v>6</v>
      </c>
      <c r="F25" s="19" t="s">
        <v>49</v>
      </c>
    </row>
    <row r="26" spans="1:6" hidden="1" outlineLevel="1" x14ac:dyDescent="0.25">
      <c r="B26" s="19" t="s">
        <v>64</v>
      </c>
      <c r="C26" s="19" t="s">
        <v>65</v>
      </c>
      <c r="D26" s="19">
        <v>1</v>
      </c>
      <c r="E26" s="19">
        <v>1</v>
      </c>
      <c r="F26" s="19" t="s">
        <v>49</v>
      </c>
    </row>
    <row r="27" spans="1:6" hidden="1" outlineLevel="1" x14ac:dyDescent="0.25">
      <c r="B27" s="19" t="s">
        <v>66</v>
      </c>
      <c r="C27" s="19" t="s">
        <v>67</v>
      </c>
      <c r="D27" s="19">
        <v>5</v>
      </c>
      <c r="E27" s="19">
        <v>5</v>
      </c>
      <c r="F27" s="19" t="s">
        <v>49</v>
      </c>
    </row>
    <row r="28" spans="1:6" hidden="1" outlineLevel="1" x14ac:dyDescent="0.25">
      <c r="B28" s="19" t="s">
        <v>68</v>
      </c>
      <c r="C28" s="19" t="s">
        <v>69</v>
      </c>
      <c r="D28" s="19">
        <v>2</v>
      </c>
      <c r="E28" s="19">
        <v>2</v>
      </c>
      <c r="F28" s="19" t="s">
        <v>49</v>
      </c>
    </row>
    <row r="29" spans="1:6" hidden="1" outlineLevel="1" x14ac:dyDescent="0.25">
      <c r="B29" s="19" t="s">
        <v>70</v>
      </c>
      <c r="C29" s="19" t="s">
        <v>71</v>
      </c>
      <c r="D29" s="19">
        <v>3</v>
      </c>
      <c r="E29" s="19">
        <v>3</v>
      </c>
      <c r="F29" s="19" t="s">
        <v>49</v>
      </c>
    </row>
    <row r="30" spans="1:6" hidden="1" outlineLevel="1" x14ac:dyDescent="0.25">
      <c r="B30" s="19" t="s">
        <v>72</v>
      </c>
      <c r="C30" s="19" t="s">
        <v>73</v>
      </c>
      <c r="D30" s="19">
        <v>2</v>
      </c>
      <c r="E30" s="19">
        <v>2</v>
      </c>
      <c r="F30" s="19" t="s">
        <v>49</v>
      </c>
    </row>
    <row r="31" spans="1:6" hidden="1" outlineLevel="1" x14ac:dyDescent="0.25">
      <c r="B31" s="19" t="s">
        <v>74</v>
      </c>
      <c r="C31" s="19" t="s">
        <v>75</v>
      </c>
      <c r="D31" s="19">
        <v>1</v>
      </c>
      <c r="E31" s="19">
        <v>1</v>
      </c>
      <c r="F31" s="19" t="s">
        <v>49</v>
      </c>
    </row>
    <row r="32" spans="1:6" ht="15.75" hidden="1" outlineLevel="1" thickBot="1" x14ac:dyDescent="0.3">
      <c r="B32" s="17" t="s">
        <v>76</v>
      </c>
      <c r="C32" s="17" t="s">
        <v>77</v>
      </c>
      <c r="D32" s="17">
        <v>8</v>
      </c>
      <c r="E32" s="17">
        <v>8</v>
      </c>
      <c r="F32" s="17" t="s">
        <v>49</v>
      </c>
    </row>
    <row r="33" spans="1:7" collapsed="1" x14ac:dyDescent="0.25"/>
    <row r="36" spans="1:7" ht="15.75" thickBot="1" x14ac:dyDescent="0.3">
      <c r="A36" t="s">
        <v>50</v>
      </c>
    </row>
    <row r="37" spans="1:7" ht="15.75" thickBot="1" x14ac:dyDescent="0.3">
      <c r="B37" s="18" t="s">
        <v>45</v>
      </c>
      <c r="C37" s="18" t="s">
        <v>0</v>
      </c>
      <c r="D37" s="18" t="s">
        <v>51</v>
      </c>
      <c r="E37" s="18" t="s">
        <v>52</v>
      </c>
      <c r="F37" s="18" t="s">
        <v>53</v>
      </c>
      <c r="G37" s="18" t="s">
        <v>54</v>
      </c>
    </row>
    <row r="38" spans="1:7" x14ac:dyDescent="0.25">
      <c r="B38" s="19" t="s">
        <v>55</v>
      </c>
      <c r="C38" s="19" t="s">
        <v>19</v>
      </c>
      <c r="D38" s="21">
        <v>800000</v>
      </c>
      <c r="E38" s="19" t="s">
        <v>78</v>
      </c>
      <c r="F38" s="19" t="s">
        <v>79</v>
      </c>
      <c r="G38" s="19">
        <v>0</v>
      </c>
    </row>
    <row r="39" spans="1:7" x14ac:dyDescent="0.25">
      <c r="B39" s="19" t="s">
        <v>56</v>
      </c>
      <c r="C39" s="19" t="s">
        <v>57</v>
      </c>
      <c r="D39" s="19">
        <v>1</v>
      </c>
      <c r="E39" s="19" t="s">
        <v>80</v>
      </c>
      <c r="F39" s="19" t="s">
        <v>79</v>
      </c>
      <c r="G39" s="19">
        <v>0</v>
      </c>
    </row>
    <row r="40" spans="1:7" x14ac:dyDescent="0.25">
      <c r="B40" s="19" t="s">
        <v>58</v>
      </c>
      <c r="C40" s="19" t="s">
        <v>59</v>
      </c>
      <c r="D40" s="19">
        <v>7</v>
      </c>
      <c r="E40" s="19" t="s">
        <v>81</v>
      </c>
      <c r="F40" s="19" t="s">
        <v>82</v>
      </c>
      <c r="G40" s="19">
        <v>1</v>
      </c>
    </row>
    <row r="41" spans="1:7" x14ac:dyDescent="0.25">
      <c r="B41" s="19" t="s">
        <v>60</v>
      </c>
      <c r="C41" s="19" t="s">
        <v>61</v>
      </c>
      <c r="D41" s="19">
        <v>1</v>
      </c>
      <c r="E41" s="19" t="s">
        <v>83</v>
      </c>
      <c r="F41" s="19" t="s">
        <v>79</v>
      </c>
      <c r="G41" s="19">
        <v>0</v>
      </c>
    </row>
    <row r="42" spans="1:7" x14ac:dyDescent="0.25">
      <c r="B42" s="19" t="s">
        <v>62</v>
      </c>
      <c r="C42" s="19" t="s">
        <v>63</v>
      </c>
      <c r="D42" s="19">
        <v>6</v>
      </c>
      <c r="E42" s="19" t="s">
        <v>84</v>
      </c>
      <c r="F42" s="19" t="s">
        <v>82</v>
      </c>
      <c r="G42" s="19">
        <v>2</v>
      </c>
    </row>
    <row r="43" spans="1:7" x14ac:dyDescent="0.25">
      <c r="B43" s="19" t="s">
        <v>64</v>
      </c>
      <c r="C43" s="19" t="s">
        <v>65</v>
      </c>
      <c r="D43" s="19">
        <v>1</v>
      </c>
      <c r="E43" s="19" t="s">
        <v>85</v>
      </c>
      <c r="F43" s="19" t="s">
        <v>79</v>
      </c>
      <c r="G43" s="19">
        <v>0</v>
      </c>
    </row>
    <row r="44" spans="1:7" x14ac:dyDescent="0.25">
      <c r="B44" s="19" t="s">
        <v>66</v>
      </c>
      <c r="C44" s="19" t="s">
        <v>67</v>
      </c>
      <c r="D44" s="19">
        <v>5</v>
      </c>
      <c r="E44" s="19" t="s">
        <v>86</v>
      </c>
      <c r="F44" s="19" t="s">
        <v>79</v>
      </c>
      <c r="G44" s="19">
        <v>0</v>
      </c>
    </row>
    <row r="45" spans="1:7" x14ac:dyDescent="0.25">
      <c r="B45" s="19" t="s">
        <v>74</v>
      </c>
      <c r="C45" s="19" t="s">
        <v>75</v>
      </c>
      <c r="D45" s="19">
        <v>1</v>
      </c>
      <c r="E45" s="19" t="s">
        <v>87</v>
      </c>
      <c r="F45" s="19" t="s">
        <v>79</v>
      </c>
      <c r="G45" s="19">
        <v>0</v>
      </c>
    </row>
    <row r="46" spans="1:7" ht="15.75" thickBot="1" x14ac:dyDescent="0.3">
      <c r="B46" s="17" t="s">
        <v>88</v>
      </c>
      <c r="C46" s="17"/>
      <c r="D46" s="17"/>
      <c r="E46" s="17"/>
      <c r="F46" s="17"/>
      <c r="G46" s="17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1323FA1C54BA8146AA96921CB1147ED2" ma:contentTypeVersion="6" ma:contentTypeDescription="Crear nuevo documento." ma:contentTypeScope="" ma:versionID="8ac678b3e1b14f28d56caeb8f86e6082">
  <xsd:schema xmlns:xsd="http://www.w3.org/2001/XMLSchema" xmlns:xs="http://www.w3.org/2001/XMLSchema" xmlns:p="http://schemas.microsoft.com/office/2006/metadata/properties" xmlns:ns2="99daa179-0aed-4a61-8ef9-1a8bf54c031d" targetNamespace="http://schemas.microsoft.com/office/2006/metadata/properties" ma:root="true" ma:fieldsID="3420823bf50610a9e33741b8950c9329" ns2:_="">
    <xsd:import namespace="99daa179-0aed-4a61-8ef9-1a8bf54c031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9daa179-0aed-4a61-8ef9-1a8bf54c031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92E764A-F766-4EE3-9850-425CD2D5CA9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9daa179-0aed-4a61-8ef9-1a8bf54c031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77122F0-B8CD-48BA-940E-1AEB35D69A0E}">
  <ds:schemaRefs>
    <ds:schemaRef ds:uri="http://purl.org/dc/terms/"/>
    <ds:schemaRef ds:uri="http://schemas.microsoft.com/office/infopath/2007/PartnerControls"/>
    <ds:schemaRef ds:uri="http://schemas.openxmlformats.org/package/2006/metadata/core-properties"/>
    <ds:schemaRef ds:uri="http://schemas.microsoft.com/office/2006/documentManagement/types"/>
    <ds:schemaRef ds:uri="http://purl.org/dc/dcmitype/"/>
    <ds:schemaRef ds:uri="http://schemas.microsoft.com/office/2006/metadata/properties"/>
    <ds:schemaRef ds:uri="http://www.w3.org/XML/1998/namespace"/>
    <ds:schemaRef ds:uri="99daa179-0aed-4a61-8ef9-1a8bf54c031d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97391AEB-C4C2-43D7-91F3-707C39EF7F5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Temp</vt:lpstr>
      <vt:lpstr>GoalSeek</vt:lpstr>
      <vt:lpstr>Solver</vt:lpstr>
      <vt:lpstr>Informe Solver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Pablo Medina</dc:creator>
  <cp:lastModifiedBy>Heriberto Espino</cp:lastModifiedBy>
  <dcterms:created xsi:type="dcterms:W3CDTF">2015-10-17T17:52:31Z</dcterms:created>
  <dcterms:modified xsi:type="dcterms:W3CDTF">2022-12-03T05:31:05Z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11d7bd74-9745-47be-b3f0-7ca761ed343c</vt:lpwstr>
  </property>
  <property fmtid="{D5CDD505-2E9C-101B-9397-08002B2CF9AE}" pid="3" name="ContentTypeId">
    <vt:lpwstr>0x0101001323FA1C54BA8146AA96921CB1147ED2</vt:lpwstr>
  </property>
</Properties>
</file>